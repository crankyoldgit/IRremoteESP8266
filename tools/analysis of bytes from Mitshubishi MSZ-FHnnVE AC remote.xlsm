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_SRC\projects\Internet IR remote\"/>
    </mc:Choice>
  </mc:AlternateContent>
  <xr:revisionPtr revIDLastSave="0" documentId="13_ncr:1_{1BD4A515-E916-4119-BE6B-F88191AB7920}" xr6:coauthVersionLast="47" xr6:coauthVersionMax="47" xr10:uidLastSave="{00000000-0000-0000-0000-000000000000}"/>
  <bookViews>
    <workbookView xWindow="-120" yWindow="-120" windowWidth="57840" windowHeight="32040" xr2:uid="{ADF71A2B-F055-4EB1-91EF-5A3628B43E37}"/>
  </bookViews>
  <sheets>
    <sheet name="2nd sensor type" sheetId="3" r:id="rId1"/>
  </sheets>
  <functionGroups builtInGroupCount="19"/>
  <definedNames>
    <definedName name="_xlnm._FilterDatabase" localSheetId="0" hidden="1">'2nd sensor type'!$A$8:$Z$40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3" l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H2" i="3"/>
  <c r="H49" i="3" s="1"/>
  <c r="H41" i="3" l="1"/>
  <c r="H42" i="3"/>
  <c r="H43" i="3"/>
  <c r="H23" i="3"/>
  <c r="H132" i="3"/>
  <c r="H128" i="3"/>
  <c r="H124" i="3"/>
  <c r="H120" i="3"/>
  <c r="H116" i="3"/>
  <c r="H112" i="3"/>
  <c r="H108" i="3"/>
  <c r="H104" i="3"/>
  <c r="H100" i="3"/>
  <c r="H96" i="3"/>
  <c r="H107" i="3"/>
  <c r="H106" i="3"/>
  <c r="H105" i="3"/>
  <c r="H94" i="3"/>
  <c r="H90" i="3"/>
  <c r="H86" i="3"/>
  <c r="H111" i="3"/>
  <c r="H110" i="3"/>
  <c r="H109" i="3"/>
  <c r="H127" i="3"/>
  <c r="H126" i="3"/>
  <c r="H125" i="3"/>
  <c r="H131" i="3"/>
  <c r="H113" i="3"/>
  <c r="H103" i="3"/>
  <c r="H95" i="3"/>
  <c r="H89" i="3"/>
  <c r="H88" i="3"/>
  <c r="H87" i="3"/>
  <c r="H84" i="3"/>
  <c r="H80" i="3"/>
  <c r="H98" i="3"/>
  <c r="H92" i="3"/>
  <c r="H76" i="3"/>
  <c r="H119" i="3"/>
  <c r="H118" i="3"/>
  <c r="H117" i="3"/>
  <c r="H102" i="3"/>
  <c r="H83" i="3"/>
  <c r="H79" i="3"/>
  <c r="H123" i="3"/>
  <c r="H122" i="3"/>
  <c r="H121" i="3"/>
  <c r="H97" i="3"/>
  <c r="H75" i="3"/>
  <c r="H115" i="3"/>
  <c r="H101" i="3"/>
  <c r="H82" i="3"/>
  <c r="H78" i="3"/>
  <c r="H129" i="3"/>
  <c r="H93" i="3"/>
  <c r="H91" i="3"/>
  <c r="H74" i="3"/>
  <c r="H99" i="3"/>
  <c r="H53" i="3"/>
  <c r="H48" i="3"/>
  <c r="H114" i="3"/>
  <c r="H73" i="3"/>
  <c r="H69" i="3"/>
  <c r="H65" i="3"/>
  <c r="H61" i="3"/>
  <c r="H57" i="3"/>
  <c r="H47" i="3"/>
  <c r="H130" i="3"/>
  <c r="H52" i="3"/>
  <c r="H72" i="3"/>
  <c r="H68" i="3"/>
  <c r="H64" i="3"/>
  <c r="H60" i="3"/>
  <c r="H56" i="3"/>
  <c r="H51" i="3"/>
  <c r="H46" i="3"/>
  <c r="H85" i="3"/>
  <c r="H45" i="3"/>
  <c r="H81" i="3"/>
  <c r="H71" i="3"/>
  <c r="H67" i="3"/>
  <c r="H63" i="3"/>
  <c r="H59" i="3"/>
  <c r="H55" i="3"/>
  <c r="H50" i="3"/>
  <c r="H77" i="3"/>
  <c r="H70" i="3"/>
  <c r="H66" i="3"/>
  <c r="H62" i="3"/>
  <c r="H58" i="3"/>
  <c r="H54" i="3"/>
  <c r="H44" i="3"/>
  <c r="H33" i="3"/>
  <c r="H37" i="3"/>
  <c r="H34" i="3"/>
  <c r="H38" i="3"/>
  <c r="H35" i="3"/>
  <c r="H39" i="3"/>
  <c r="H36" i="3"/>
  <c r="H40" i="3"/>
  <c r="I2" i="3"/>
  <c r="H15" i="3"/>
  <c r="H19" i="3"/>
  <c r="H24" i="3"/>
  <c r="H20" i="3"/>
  <c r="H29" i="3"/>
  <c r="H10" i="3"/>
  <c r="H16" i="3"/>
  <c r="H25" i="3"/>
  <c r="H30" i="3"/>
  <c r="H9" i="3"/>
  <c r="H11" i="3"/>
  <c r="H21" i="3"/>
  <c r="H26" i="3"/>
  <c r="H12" i="3"/>
  <c r="H13" i="3"/>
  <c r="H17" i="3"/>
  <c r="H22" i="3"/>
  <c r="H27" i="3"/>
  <c r="H31" i="3"/>
  <c r="H18" i="3"/>
  <c r="H28" i="3"/>
  <c r="H32" i="3"/>
  <c r="H14" i="3"/>
  <c r="Y1" i="3"/>
  <c r="A3" i="3"/>
  <c r="A4" i="3" s="1"/>
  <c r="A5" i="3" s="1"/>
  <c r="D5" i="3"/>
  <c r="D4" i="3"/>
  <c r="C3" i="3"/>
  <c r="D3" i="3" s="1"/>
  <c r="C2" i="3"/>
  <c r="D2" i="3" s="1"/>
  <c r="I131" i="3" l="1"/>
  <c r="I128" i="3"/>
  <c r="I108" i="3"/>
  <c r="I94" i="3"/>
  <c r="I111" i="3"/>
  <c r="I110" i="3"/>
  <c r="I109" i="3"/>
  <c r="I132" i="3"/>
  <c r="I129" i="3"/>
  <c r="I115" i="3"/>
  <c r="I114" i="3"/>
  <c r="I113" i="3"/>
  <c r="I112" i="3"/>
  <c r="I93" i="3"/>
  <c r="I107" i="3"/>
  <c r="I98" i="3"/>
  <c r="I92" i="3"/>
  <c r="I90" i="3"/>
  <c r="I76" i="3"/>
  <c r="I119" i="3"/>
  <c r="I118" i="3"/>
  <c r="I117" i="3"/>
  <c r="I102" i="3"/>
  <c r="I83" i="3"/>
  <c r="I79" i="3"/>
  <c r="I123" i="3"/>
  <c r="I122" i="3"/>
  <c r="I121" i="3"/>
  <c r="I120" i="3"/>
  <c r="I116" i="3"/>
  <c r="I106" i="3"/>
  <c r="I97" i="3"/>
  <c r="I75" i="3"/>
  <c r="I127" i="3"/>
  <c r="I126" i="3"/>
  <c r="I125" i="3"/>
  <c r="I124" i="3"/>
  <c r="I101" i="3"/>
  <c r="I82" i="3"/>
  <c r="I78" i="3"/>
  <c r="I105" i="3"/>
  <c r="I96" i="3"/>
  <c r="I91" i="3"/>
  <c r="I74" i="3"/>
  <c r="I100" i="3"/>
  <c r="I81" i="3"/>
  <c r="I77" i="3"/>
  <c r="I88" i="3"/>
  <c r="I86" i="3"/>
  <c r="I84" i="3"/>
  <c r="I73" i="3"/>
  <c r="I69" i="3"/>
  <c r="I65" i="3"/>
  <c r="I61" i="3"/>
  <c r="I57" i="3"/>
  <c r="I47" i="3"/>
  <c r="I130" i="3"/>
  <c r="I52" i="3"/>
  <c r="I95" i="3"/>
  <c r="I80" i="3"/>
  <c r="I72" i="3"/>
  <c r="I68" i="3"/>
  <c r="I64" i="3"/>
  <c r="I60" i="3"/>
  <c r="I56" i="3"/>
  <c r="I51" i="3"/>
  <c r="I46" i="3"/>
  <c r="I104" i="3"/>
  <c r="I85" i="3"/>
  <c r="I45" i="3"/>
  <c r="I89" i="3"/>
  <c r="I87" i="3"/>
  <c r="I71" i="3"/>
  <c r="I67" i="3"/>
  <c r="I63" i="3"/>
  <c r="I59" i="3"/>
  <c r="I55" i="3"/>
  <c r="I50" i="3"/>
  <c r="I49" i="3"/>
  <c r="I99" i="3"/>
  <c r="I53" i="3"/>
  <c r="I48" i="3"/>
  <c r="I54" i="3"/>
  <c r="I44" i="3"/>
  <c r="I43" i="3"/>
  <c r="I41" i="3"/>
  <c r="I70" i="3"/>
  <c r="I42" i="3"/>
  <c r="I66" i="3"/>
  <c r="I62" i="3"/>
  <c r="I103" i="3"/>
  <c r="I58" i="3"/>
  <c r="I40" i="3"/>
  <c r="I36" i="3"/>
  <c r="I39" i="3"/>
  <c r="I35" i="3"/>
  <c r="I38" i="3"/>
  <c r="I34" i="3"/>
  <c r="I37" i="3"/>
  <c r="I33" i="3"/>
  <c r="I32" i="3"/>
  <c r="I28" i="3"/>
  <c r="I18" i="3"/>
  <c r="I14" i="3"/>
  <c r="I31" i="3"/>
  <c r="I27" i="3"/>
  <c r="I12" i="3"/>
  <c r="I22" i="3"/>
  <c r="I17" i="3"/>
  <c r="I13" i="3"/>
  <c r="I26" i="3"/>
  <c r="I21" i="3"/>
  <c r="I30" i="3"/>
  <c r="I25" i="3"/>
  <c r="I16" i="3"/>
  <c r="I11" i="3"/>
  <c r="I29" i="3"/>
  <c r="I20" i="3"/>
  <c r="I24" i="3"/>
  <c r="I19" i="3"/>
  <c r="I15" i="3"/>
  <c r="I23" i="3"/>
  <c r="D6" i="3"/>
  <c r="I10" i="3" l="1"/>
  <c r="I9" i="3"/>
  <c r="J2" i="3"/>
  <c r="J131" i="3" l="1"/>
  <c r="J127" i="3"/>
  <c r="J123" i="3"/>
  <c r="J119" i="3"/>
  <c r="J115" i="3"/>
  <c r="J111" i="3"/>
  <c r="J107" i="3"/>
  <c r="J103" i="3"/>
  <c r="J99" i="3"/>
  <c r="J110" i="3"/>
  <c r="J109" i="3"/>
  <c r="J132" i="3"/>
  <c r="J129" i="3"/>
  <c r="J114" i="3"/>
  <c r="J113" i="3"/>
  <c r="J112" i="3"/>
  <c r="J93" i="3"/>
  <c r="J89" i="3"/>
  <c r="J85" i="3"/>
  <c r="J118" i="3"/>
  <c r="J117" i="3"/>
  <c r="J116" i="3"/>
  <c r="J102" i="3"/>
  <c r="J83" i="3"/>
  <c r="J79" i="3"/>
  <c r="J122" i="3"/>
  <c r="J121" i="3"/>
  <c r="J120" i="3"/>
  <c r="J106" i="3"/>
  <c r="J97" i="3"/>
  <c r="J75" i="3"/>
  <c r="J126" i="3"/>
  <c r="J125" i="3"/>
  <c r="J124" i="3"/>
  <c r="J101" i="3"/>
  <c r="J94" i="3"/>
  <c r="J82" i="3"/>
  <c r="J78" i="3"/>
  <c r="J105" i="3"/>
  <c r="J96" i="3"/>
  <c r="J91" i="3"/>
  <c r="J74" i="3"/>
  <c r="J128" i="3"/>
  <c r="J100" i="3"/>
  <c r="J81" i="3"/>
  <c r="J77" i="3"/>
  <c r="J130" i="3"/>
  <c r="J104" i="3"/>
  <c r="J90" i="3"/>
  <c r="J52" i="3"/>
  <c r="J108" i="3"/>
  <c r="J95" i="3"/>
  <c r="J80" i="3"/>
  <c r="J72" i="3"/>
  <c r="J68" i="3"/>
  <c r="J64" i="3"/>
  <c r="J60" i="3"/>
  <c r="J56" i="3"/>
  <c r="J51" i="3"/>
  <c r="J46" i="3"/>
  <c r="J98" i="3"/>
  <c r="J92" i="3"/>
  <c r="J45" i="3"/>
  <c r="J87" i="3"/>
  <c r="J71" i="3"/>
  <c r="J67" i="3"/>
  <c r="J63" i="3"/>
  <c r="J59" i="3"/>
  <c r="J55" i="3"/>
  <c r="J50" i="3"/>
  <c r="J76" i="3"/>
  <c r="J49" i="3"/>
  <c r="J70" i="3"/>
  <c r="J66" i="3"/>
  <c r="J62" i="3"/>
  <c r="J58" i="3"/>
  <c r="J54" i="3"/>
  <c r="J88" i="3"/>
  <c r="J86" i="3"/>
  <c r="J84" i="3"/>
  <c r="J73" i="3"/>
  <c r="J69" i="3"/>
  <c r="J65" i="3"/>
  <c r="J61" i="3"/>
  <c r="J57" i="3"/>
  <c r="J47" i="3"/>
  <c r="J43" i="3"/>
  <c r="J53" i="3"/>
  <c r="J42" i="3"/>
  <c r="J48" i="3"/>
  <c r="J41" i="3"/>
  <c r="J44" i="3"/>
  <c r="J39" i="3"/>
  <c r="J35" i="3"/>
  <c r="J38" i="3"/>
  <c r="J34" i="3"/>
  <c r="J37" i="3"/>
  <c r="J33" i="3"/>
  <c r="J40" i="3"/>
  <c r="J36" i="3"/>
  <c r="J31" i="3"/>
  <c r="J27" i="3"/>
  <c r="J12" i="3"/>
  <c r="J22" i="3"/>
  <c r="J17" i="3"/>
  <c r="J13" i="3"/>
  <c r="J11" i="3"/>
  <c r="J26" i="3"/>
  <c r="J21" i="3"/>
  <c r="J30" i="3"/>
  <c r="J25" i="3"/>
  <c r="J16" i="3"/>
  <c r="J29" i="3"/>
  <c r="J20" i="3"/>
  <c r="J24" i="3"/>
  <c r="J19" i="3"/>
  <c r="J15" i="3"/>
  <c r="J23" i="3"/>
  <c r="J32" i="3"/>
  <c r="J28" i="3"/>
  <c r="J18" i="3"/>
  <c r="J14" i="3"/>
  <c r="J10" i="3"/>
  <c r="K2" i="3"/>
  <c r="J9" i="3"/>
  <c r="K130" i="3" l="1"/>
  <c r="K132" i="3"/>
  <c r="K129" i="3"/>
  <c r="K114" i="3"/>
  <c r="K113" i="3"/>
  <c r="K112" i="3"/>
  <c r="K111" i="3"/>
  <c r="K93" i="3"/>
  <c r="K118" i="3"/>
  <c r="K117" i="3"/>
  <c r="K116" i="3"/>
  <c r="K115" i="3"/>
  <c r="K122" i="3"/>
  <c r="K121" i="3"/>
  <c r="K120" i="3"/>
  <c r="K119" i="3"/>
  <c r="K92" i="3"/>
  <c r="K131" i="3"/>
  <c r="K128" i="3"/>
  <c r="K106" i="3"/>
  <c r="K97" i="3"/>
  <c r="K75" i="3"/>
  <c r="K126" i="3"/>
  <c r="K125" i="3"/>
  <c r="K124" i="3"/>
  <c r="K123" i="3"/>
  <c r="K101" i="3"/>
  <c r="K94" i="3"/>
  <c r="K82" i="3"/>
  <c r="K78" i="3"/>
  <c r="K127" i="3"/>
  <c r="K105" i="3"/>
  <c r="K96" i="3"/>
  <c r="K91" i="3"/>
  <c r="K100" i="3"/>
  <c r="K81" i="3"/>
  <c r="K77" i="3"/>
  <c r="K104" i="3"/>
  <c r="K110" i="3"/>
  <c r="K108" i="3"/>
  <c r="K99" i="3"/>
  <c r="K95" i="3"/>
  <c r="K88" i="3"/>
  <c r="K87" i="3"/>
  <c r="K86" i="3"/>
  <c r="K85" i="3"/>
  <c r="K84" i="3"/>
  <c r="K80" i="3"/>
  <c r="K102" i="3"/>
  <c r="K72" i="3"/>
  <c r="K68" i="3"/>
  <c r="K64" i="3"/>
  <c r="K60" i="3"/>
  <c r="K56" i="3"/>
  <c r="K51" i="3"/>
  <c r="K46" i="3"/>
  <c r="K98" i="3"/>
  <c r="K45" i="3"/>
  <c r="K71" i="3"/>
  <c r="K67" i="3"/>
  <c r="K63" i="3"/>
  <c r="K59" i="3"/>
  <c r="K55" i="3"/>
  <c r="K50" i="3"/>
  <c r="K89" i="3"/>
  <c r="K76" i="3"/>
  <c r="K49" i="3"/>
  <c r="K107" i="3"/>
  <c r="K83" i="3"/>
  <c r="K70" i="3"/>
  <c r="K66" i="3"/>
  <c r="K62" i="3"/>
  <c r="K58" i="3"/>
  <c r="K54" i="3"/>
  <c r="K103" i="3"/>
  <c r="K74" i="3"/>
  <c r="K53" i="3"/>
  <c r="K48" i="3"/>
  <c r="K90" i="3"/>
  <c r="K52" i="3"/>
  <c r="K61" i="3"/>
  <c r="K43" i="3"/>
  <c r="K79" i="3"/>
  <c r="K57" i="3"/>
  <c r="K42" i="3"/>
  <c r="K69" i="3"/>
  <c r="K41" i="3"/>
  <c r="K109" i="3"/>
  <c r="K73" i="3"/>
  <c r="K65" i="3"/>
  <c r="K47" i="3"/>
  <c r="K44" i="3"/>
  <c r="K38" i="3"/>
  <c r="K34" i="3"/>
  <c r="K37" i="3"/>
  <c r="K33" i="3"/>
  <c r="K39" i="3"/>
  <c r="K40" i="3"/>
  <c r="K36" i="3"/>
  <c r="K35" i="3"/>
  <c r="K22" i="3"/>
  <c r="K17" i="3"/>
  <c r="K13" i="3"/>
  <c r="K26" i="3"/>
  <c r="K21" i="3"/>
  <c r="K12" i="3"/>
  <c r="K30" i="3"/>
  <c r="K25" i="3"/>
  <c r="K16" i="3"/>
  <c r="K11" i="3"/>
  <c r="K29" i="3"/>
  <c r="K20" i="3"/>
  <c r="K24" i="3"/>
  <c r="K19" i="3"/>
  <c r="K15" i="3"/>
  <c r="K23" i="3"/>
  <c r="K32" i="3"/>
  <c r="K28" i="3"/>
  <c r="K18" i="3"/>
  <c r="K14" i="3"/>
  <c r="K31" i="3"/>
  <c r="K27" i="3"/>
  <c r="K10" i="3"/>
  <c r="K9" i="3"/>
  <c r="L2" i="3"/>
  <c r="L130" i="3" l="1"/>
  <c r="L126" i="3"/>
  <c r="L122" i="3"/>
  <c r="L118" i="3"/>
  <c r="L114" i="3"/>
  <c r="L110" i="3"/>
  <c r="L106" i="3"/>
  <c r="L102" i="3"/>
  <c r="L98" i="3"/>
  <c r="L117" i="3"/>
  <c r="L116" i="3"/>
  <c r="L115" i="3"/>
  <c r="L121" i="3"/>
  <c r="L120" i="3"/>
  <c r="L119" i="3"/>
  <c r="L92" i="3"/>
  <c r="L88" i="3"/>
  <c r="L125" i="3"/>
  <c r="L124" i="3"/>
  <c r="L123" i="3"/>
  <c r="L97" i="3"/>
  <c r="L96" i="3"/>
  <c r="L132" i="3"/>
  <c r="L101" i="3"/>
  <c r="L94" i="3"/>
  <c r="L82" i="3"/>
  <c r="L78" i="3"/>
  <c r="L127" i="3"/>
  <c r="L112" i="3"/>
  <c r="L105" i="3"/>
  <c r="L91" i="3"/>
  <c r="L74" i="3"/>
  <c r="L100" i="3"/>
  <c r="L81" i="3"/>
  <c r="L77" i="3"/>
  <c r="L128" i="3"/>
  <c r="L111" i="3"/>
  <c r="L104" i="3"/>
  <c r="L129" i="3"/>
  <c r="L108" i="3"/>
  <c r="L99" i="3"/>
  <c r="L95" i="3"/>
  <c r="L93" i="3"/>
  <c r="L87" i="3"/>
  <c r="L86" i="3"/>
  <c r="L85" i="3"/>
  <c r="L84" i="3"/>
  <c r="L80" i="3"/>
  <c r="L103" i="3"/>
  <c r="L90" i="3"/>
  <c r="L89" i="3"/>
  <c r="L76" i="3"/>
  <c r="L131" i="3"/>
  <c r="L75" i="3"/>
  <c r="L45" i="3"/>
  <c r="L71" i="3"/>
  <c r="L67" i="3"/>
  <c r="L63" i="3"/>
  <c r="L59" i="3"/>
  <c r="L55" i="3"/>
  <c r="L50" i="3"/>
  <c r="L49" i="3"/>
  <c r="L107" i="3"/>
  <c r="L83" i="3"/>
  <c r="L70" i="3"/>
  <c r="L66" i="3"/>
  <c r="L62" i="3"/>
  <c r="L58" i="3"/>
  <c r="L54" i="3"/>
  <c r="L113" i="3"/>
  <c r="L53" i="3"/>
  <c r="L48" i="3"/>
  <c r="L109" i="3"/>
  <c r="L79" i="3"/>
  <c r="L73" i="3"/>
  <c r="L69" i="3"/>
  <c r="L65" i="3"/>
  <c r="L61" i="3"/>
  <c r="L57" i="3"/>
  <c r="L47" i="3"/>
  <c r="L72" i="3"/>
  <c r="L68" i="3"/>
  <c r="L64" i="3"/>
  <c r="L60" i="3"/>
  <c r="L56" i="3"/>
  <c r="L51" i="3"/>
  <c r="L46" i="3"/>
  <c r="L42" i="3"/>
  <c r="L41" i="3"/>
  <c r="L52" i="3"/>
  <c r="L44" i="3"/>
  <c r="L43" i="3"/>
  <c r="L38" i="3"/>
  <c r="L34" i="3"/>
  <c r="L37" i="3"/>
  <c r="L33" i="3"/>
  <c r="L40" i="3"/>
  <c r="L36" i="3"/>
  <c r="L39" i="3"/>
  <c r="L35" i="3"/>
  <c r="L26" i="3"/>
  <c r="L21" i="3"/>
  <c r="L30" i="3"/>
  <c r="L25" i="3"/>
  <c r="L16" i="3"/>
  <c r="L12" i="3"/>
  <c r="L11" i="3"/>
  <c r="L29" i="3"/>
  <c r="L20" i="3"/>
  <c r="L24" i="3"/>
  <c r="L19" i="3"/>
  <c r="L15" i="3"/>
  <c r="L23" i="3"/>
  <c r="L32" i="3"/>
  <c r="L28" i="3"/>
  <c r="L18" i="3"/>
  <c r="L14" i="3"/>
  <c r="L31" i="3"/>
  <c r="L27" i="3"/>
  <c r="L22" i="3"/>
  <c r="L17" i="3"/>
  <c r="L13" i="3"/>
  <c r="L9" i="3"/>
  <c r="L10" i="3"/>
  <c r="M2" i="3"/>
  <c r="M129" i="3" l="1"/>
  <c r="M121" i="3"/>
  <c r="M120" i="3"/>
  <c r="M119" i="3"/>
  <c r="M118" i="3"/>
  <c r="M92" i="3"/>
  <c r="M125" i="3"/>
  <c r="M124" i="3"/>
  <c r="M123" i="3"/>
  <c r="M122" i="3"/>
  <c r="M97" i="3"/>
  <c r="M96" i="3"/>
  <c r="M130" i="3"/>
  <c r="M127" i="3"/>
  <c r="M126" i="3"/>
  <c r="M101" i="3"/>
  <c r="M100" i="3"/>
  <c r="M99" i="3"/>
  <c r="M98" i="3"/>
  <c r="M95" i="3"/>
  <c r="M91" i="3"/>
  <c r="M132" i="3"/>
  <c r="M117" i="3"/>
  <c r="M112" i="3"/>
  <c r="M105" i="3"/>
  <c r="M74" i="3"/>
  <c r="M116" i="3"/>
  <c r="M81" i="3"/>
  <c r="M77" i="3"/>
  <c r="M128" i="3"/>
  <c r="M111" i="3"/>
  <c r="M104" i="3"/>
  <c r="M115" i="3"/>
  <c r="M108" i="3"/>
  <c r="M93" i="3"/>
  <c r="M87" i="3"/>
  <c r="M86" i="3"/>
  <c r="M85" i="3"/>
  <c r="M84" i="3"/>
  <c r="M80" i="3"/>
  <c r="M110" i="3"/>
  <c r="M103" i="3"/>
  <c r="M90" i="3"/>
  <c r="M89" i="3"/>
  <c r="M88" i="3"/>
  <c r="M76" i="3"/>
  <c r="M114" i="3"/>
  <c r="M109" i="3"/>
  <c r="M107" i="3"/>
  <c r="M83" i="3"/>
  <c r="M79" i="3"/>
  <c r="M131" i="3"/>
  <c r="M82" i="3"/>
  <c r="M71" i="3"/>
  <c r="M67" i="3"/>
  <c r="M63" i="3"/>
  <c r="M59" i="3"/>
  <c r="M55" i="3"/>
  <c r="M50" i="3"/>
  <c r="M49" i="3"/>
  <c r="M78" i="3"/>
  <c r="M70" i="3"/>
  <c r="M66" i="3"/>
  <c r="M62" i="3"/>
  <c r="M58" i="3"/>
  <c r="M54" i="3"/>
  <c r="M113" i="3"/>
  <c r="M53" i="3"/>
  <c r="M48" i="3"/>
  <c r="M94" i="3"/>
  <c r="M73" i="3"/>
  <c r="M69" i="3"/>
  <c r="M65" i="3"/>
  <c r="M61" i="3"/>
  <c r="M57" i="3"/>
  <c r="M47" i="3"/>
  <c r="M52" i="3"/>
  <c r="M102" i="3"/>
  <c r="M75" i="3"/>
  <c r="M45" i="3"/>
  <c r="M68" i="3"/>
  <c r="M42" i="3"/>
  <c r="N2" i="3"/>
  <c r="M64" i="3"/>
  <c r="M46" i="3"/>
  <c r="M60" i="3"/>
  <c r="M41" i="3"/>
  <c r="M43" i="3"/>
  <c r="M56" i="3"/>
  <c r="M44" i="3"/>
  <c r="M106" i="3"/>
  <c r="M51" i="3"/>
  <c r="M72" i="3"/>
  <c r="M38" i="3"/>
  <c r="M34" i="3"/>
  <c r="M37" i="3"/>
  <c r="M33" i="3"/>
  <c r="M40" i="3"/>
  <c r="M36" i="3"/>
  <c r="M39" i="3"/>
  <c r="M35" i="3"/>
  <c r="M30" i="3"/>
  <c r="M25" i="3"/>
  <c r="M16" i="3"/>
  <c r="M12" i="3"/>
  <c r="M11" i="3"/>
  <c r="M29" i="3"/>
  <c r="M20" i="3"/>
  <c r="M24" i="3"/>
  <c r="M19" i="3"/>
  <c r="M15" i="3"/>
  <c r="M23" i="3"/>
  <c r="M32" i="3"/>
  <c r="M28" i="3"/>
  <c r="M18" i="3"/>
  <c r="M14" i="3"/>
  <c r="M31" i="3"/>
  <c r="M27" i="3"/>
  <c r="M22" i="3"/>
  <c r="M17" i="3"/>
  <c r="M13" i="3"/>
  <c r="M26" i="3"/>
  <c r="M21" i="3"/>
  <c r="M9" i="3"/>
  <c r="M10" i="3"/>
  <c r="N129" i="3" l="1"/>
  <c r="N125" i="3"/>
  <c r="N121" i="3"/>
  <c r="N117" i="3"/>
  <c r="N113" i="3"/>
  <c r="N109" i="3"/>
  <c r="N105" i="3"/>
  <c r="N101" i="3"/>
  <c r="N97" i="3"/>
  <c r="N124" i="3"/>
  <c r="N123" i="3"/>
  <c r="N122" i="3"/>
  <c r="N96" i="3"/>
  <c r="N130" i="3"/>
  <c r="N127" i="3"/>
  <c r="N126" i="3"/>
  <c r="N100" i="3"/>
  <c r="N99" i="3"/>
  <c r="N98" i="3"/>
  <c r="N95" i="3"/>
  <c r="N91" i="3"/>
  <c r="N87" i="3"/>
  <c r="N104" i="3"/>
  <c r="N103" i="3"/>
  <c r="N102" i="3"/>
  <c r="N132" i="3"/>
  <c r="N120" i="3"/>
  <c r="N119" i="3"/>
  <c r="N118" i="3"/>
  <c r="N116" i="3"/>
  <c r="N81" i="3"/>
  <c r="N77" i="3"/>
  <c r="N128" i="3"/>
  <c r="N111" i="3"/>
  <c r="N73" i="3"/>
  <c r="N115" i="3"/>
  <c r="N108" i="3"/>
  <c r="N93" i="3"/>
  <c r="N86" i="3"/>
  <c r="N85" i="3"/>
  <c r="N84" i="3"/>
  <c r="N80" i="3"/>
  <c r="N110" i="3"/>
  <c r="N90" i="3"/>
  <c r="N89" i="3"/>
  <c r="N88" i="3"/>
  <c r="N76" i="3"/>
  <c r="N114" i="3"/>
  <c r="N107" i="3"/>
  <c r="N83" i="3"/>
  <c r="N79" i="3"/>
  <c r="N131" i="3"/>
  <c r="N75" i="3"/>
  <c r="N49" i="3"/>
  <c r="N92" i="3"/>
  <c r="N78" i="3"/>
  <c r="N70" i="3"/>
  <c r="N66" i="3"/>
  <c r="N62" i="3"/>
  <c r="N58" i="3"/>
  <c r="N54" i="3"/>
  <c r="N53" i="3"/>
  <c r="N48" i="3"/>
  <c r="N94" i="3"/>
  <c r="N69" i="3"/>
  <c r="N65" i="3"/>
  <c r="N61" i="3"/>
  <c r="N57" i="3"/>
  <c r="N47" i="3"/>
  <c r="N74" i="3"/>
  <c r="N52" i="3"/>
  <c r="N106" i="3"/>
  <c r="N72" i="3"/>
  <c r="N68" i="3"/>
  <c r="N64" i="3"/>
  <c r="N60" i="3"/>
  <c r="N56" i="3"/>
  <c r="N51" i="3"/>
  <c r="N46" i="3"/>
  <c r="N82" i="3"/>
  <c r="N71" i="3"/>
  <c r="N67" i="3"/>
  <c r="N63" i="3"/>
  <c r="N59" i="3"/>
  <c r="N55" i="3"/>
  <c r="N50" i="3"/>
  <c r="N41" i="3"/>
  <c r="N45" i="3"/>
  <c r="N44" i="3"/>
  <c r="N112" i="3"/>
  <c r="N43" i="3"/>
  <c r="N42" i="3"/>
  <c r="N37" i="3"/>
  <c r="N33" i="3"/>
  <c r="N38" i="3"/>
  <c r="N40" i="3"/>
  <c r="N36" i="3"/>
  <c r="N39" i="3"/>
  <c r="N35" i="3"/>
  <c r="N34" i="3"/>
  <c r="N29" i="3"/>
  <c r="N20" i="3"/>
  <c r="N15" i="3"/>
  <c r="N24" i="3"/>
  <c r="N19" i="3"/>
  <c r="N23" i="3"/>
  <c r="N32" i="3"/>
  <c r="N28" i="3"/>
  <c r="N18" i="3"/>
  <c r="N14" i="3"/>
  <c r="N31" i="3"/>
  <c r="N27" i="3"/>
  <c r="N22" i="3"/>
  <c r="N17" i="3"/>
  <c r="N13" i="3"/>
  <c r="N26" i="3"/>
  <c r="N21" i="3"/>
  <c r="N30" i="3"/>
  <c r="N25" i="3"/>
  <c r="N16" i="3"/>
  <c r="N12" i="3"/>
  <c r="N11" i="3"/>
  <c r="N10" i="3"/>
  <c r="N9" i="3"/>
  <c r="O2" i="3"/>
  <c r="O132" i="3" l="1"/>
  <c r="O128" i="3"/>
  <c r="O130" i="3"/>
  <c r="O127" i="3"/>
  <c r="O126" i="3"/>
  <c r="O125" i="3"/>
  <c r="O100" i="3"/>
  <c r="O99" i="3"/>
  <c r="O98" i="3"/>
  <c r="O97" i="3"/>
  <c r="O95" i="3"/>
  <c r="O91" i="3"/>
  <c r="O104" i="3"/>
  <c r="O103" i="3"/>
  <c r="O102" i="3"/>
  <c r="O101" i="3"/>
  <c r="O131" i="3"/>
  <c r="O108" i="3"/>
  <c r="O107" i="3"/>
  <c r="O106" i="3"/>
  <c r="O105" i="3"/>
  <c r="O94" i="3"/>
  <c r="O90" i="3"/>
  <c r="O129" i="3"/>
  <c r="O120" i="3"/>
  <c r="O119" i="3"/>
  <c r="O118" i="3"/>
  <c r="O117" i="3"/>
  <c r="O124" i="3"/>
  <c r="O123" i="3"/>
  <c r="O122" i="3"/>
  <c r="O121" i="3"/>
  <c r="O111" i="3"/>
  <c r="O10" i="3"/>
  <c r="O9" i="3" s="1"/>
  <c r="O115" i="3"/>
  <c r="O19" i="3"/>
  <c r="O96" i="3"/>
  <c r="O93" i="3"/>
  <c r="O86" i="3"/>
  <c r="O85" i="3"/>
  <c r="O84" i="3"/>
  <c r="O80" i="3"/>
  <c r="O110" i="3"/>
  <c r="O21" i="3"/>
  <c r="O89" i="3"/>
  <c r="O88" i="3"/>
  <c r="O87" i="3"/>
  <c r="O76" i="3"/>
  <c r="O114" i="3"/>
  <c r="O83" i="3"/>
  <c r="O79" i="3"/>
  <c r="O109" i="3"/>
  <c r="O75" i="3"/>
  <c r="O113" i="3"/>
  <c r="O92" i="3"/>
  <c r="O82" i="3"/>
  <c r="O78" i="3"/>
  <c r="O70" i="3"/>
  <c r="O66" i="3"/>
  <c r="O62" i="3"/>
  <c r="O58" i="3"/>
  <c r="O54" i="3"/>
  <c r="O53" i="3" s="1"/>
  <c r="O48" i="3"/>
  <c r="O47" i="3" s="1"/>
  <c r="O69" i="3"/>
  <c r="O65" i="3"/>
  <c r="O61" i="3"/>
  <c r="O57" i="3"/>
  <c r="O74" i="3"/>
  <c r="O73" i="3"/>
  <c r="O52" i="3"/>
  <c r="O51" i="3" s="1"/>
  <c r="O116" i="3"/>
  <c r="O81" i="3"/>
  <c r="O72" i="3"/>
  <c r="O68" i="3"/>
  <c r="O64" i="3"/>
  <c r="O60" i="3"/>
  <c r="O56" i="3"/>
  <c r="O46" i="3"/>
  <c r="O45" i="3" s="1"/>
  <c r="O112" i="3"/>
  <c r="O50" i="3"/>
  <c r="O49" i="3" s="1"/>
  <c r="O41" i="3"/>
  <c r="O71" i="3"/>
  <c r="O44" i="3"/>
  <c r="O77" i="3"/>
  <c r="O67" i="3"/>
  <c r="O63" i="3"/>
  <c r="O59" i="3"/>
  <c r="O43" i="3"/>
  <c r="O55" i="3"/>
  <c r="O42" i="3"/>
  <c r="O33" i="3"/>
  <c r="O40" i="3"/>
  <c r="O36" i="3"/>
  <c r="O39" i="3"/>
  <c r="O35" i="3"/>
  <c r="O38" i="3"/>
  <c r="O34" i="3"/>
  <c r="O37" i="3"/>
  <c r="O24" i="3"/>
  <c r="O15" i="3"/>
  <c r="O23" i="3"/>
  <c r="O32" i="3"/>
  <c r="O28" i="3"/>
  <c r="O18" i="3"/>
  <c r="O14" i="3"/>
  <c r="O31" i="3"/>
  <c r="O27" i="3"/>
  <c r="O22" i="3"/>
  <c r="O17" i="3"/>
  <c r="O13" i="3"/>
  <c r="O26" i="3"/>
  <c r="O30" i="3"/>
  <c r="O25" i="3"/>
  <c r="O16" i="3"/>
  <c r="O12" i="3"/>
  <c r="O11" i="3"/>
  <c r="O29" i="3"/>
  <c r="O20" i="3"/>
  <c r="P2" i="3"/>
  <c r="P132" i="3" l="1"/>
  <c r="P128" i="3"/>
  <c r="P124" i="3"/>
  <c r="P120" i="3"/>
  <c r="P116" i="3"/>
  <c r="P112" i="3"/>
  <c r="P108" i="3"/>
  <c r="P104" i="3"/>
  <c r="P100" i="3"/>
  <c r="P96" i="3"/>
  <c r="P103" i="3"/>
  <c r="P102" i="3"/>
  <c r="P101" i="3"/>
  <c r="P131" i="3"/>
  <c r="P107" i="3"/>
  <c r="P106" i="3"/>
  <c r="P105" i="3"/>
  <c r="P94" i="3"/>
  <c r="P90" i="3"/>
  <c r="P86" i="3"/>
  <c r="P123" i="3"/>
  <c r="P122" i="3"/>
  <c r="P121" i="3"/>
  <c r="P127" i="3"/>
  <c r="P126" i="3"/>
  <c r="P125" i="3"/>
  <c r="P115" i="3"/>
  <c r="P93" i="3"/>
  <c r="P91" i="3"/>
  <c r="P85" i="3"/>
  <c r="P84" i="3"/>
  <c r="P80" i="3"/>
  <c r="P110" i="3"/>
  <c r="P89" i="3"/>
  <c r="P88" i="3"/>
  <c r="P87" i="3"/>
  <c r="P76" i="3"/>
  <c r="P114" i="3"/>
  <c r="P83" i="3"/>
  <c r="P79" i="3"/>
  <c r="P129" i="3"/>
  <c r="P109" i="3"/>
  <c r="P99" i="3"/>
  <c r="P95" i="3"/>
  <c r="P75" i="3"/>
  <c r="P130" i="3"/>
  <c r="P113" i="3"/>
  <c r="P92" i="3"/>
  <c r="P82" i="3"/>
  <c r="P78" i="3"/>
  <c r="P98" i="3"/>
  <c r="P74" i="3"/>
  <c r="P118" i="3"/>
  <c r="P111" i="3"/>
  <c r="P48" i="3"/>
  <c r="P69" i="3"/>
  <c r="P65" i="3"/>
  <c r="P61" i="3"/>
  <c r="P57" i="3"/>
  <c r="P53" i="3"/>
  <c r="P117" i="3"/>
  <c r="P73" i="3"/>
  <c r="P52" i="3"/>
  <c r="P47" i="3"/>
  <c r="P81" i="3"/>
  <c r="P72" i="3"/>
  <c r="P68" i="3"/>
  <c r="P64" i="3"/>
  <c r="P60" i="3"/>
  <c r="P56" i="3"/>
  <c r="P46" i="3"/>
  <c r="P97" i="3"/>
  <c r="P51" i="3"/>
  <c r="P77" i="3"/>
  <c r="P71" i="3"/>
  <c r="P67" i="3"/>
  <c r="P63" i="3"/>
  <c r="P59" i="3"/>
  <c r="P55" i="3"/>
  <c r="P50" i="3"/>
  <c r="P45" i="3"/>
  <c r="P70" i="3"/>
  <c r="P66" i="3"/>
  <c r="P62" i="3"/>
  <c r="P58" i="3"/>
  <c r="P54" i="3"/>
  <c r="P49" i="3"/>
  <c r="P44" i="3"/>
  <c r="P119" i="3"/>
  <c r="P43" i="3"/>
  <c r="P42" i="3"/>
  <c r="P41" i="3"/>
  <c r="P40" i="3"/>
  <c r="P36" i="3"/>
  <c r="P39" i="3"/>
  <c r="P35" i="3"/>
  <c r="P38" i="3"/>
  <c r="P34" i="3"/>
  <c r="P37" i="3"/>
  <c r="P33" i="3"/>
  <c r="P23" i="3"/>
  <c r="P32" i="3"/>
  <c r="P28" i="3"/>
  <c r="P18" i="3"/>
  <c r="P14" i="3"/>
  <c r="P31" i="3"/>
  <c r="P27" i="3"/>
  <c r="P22" i="3"/>
  <c r="P17" i="3"/>
  <c r="P13" i="3"/>
  <c r="P26" i="3"/>
  <c r="P21" i="3"/>
  <c r="P30" i="3"/>
  <c r="P25" i="3"/>
  <c r="P16" i="3"/>
  <c r="P12" i="3"/>
  <c r="P11" i="3"/>
  <c r="P29" i="3"/>
  <c r="P20" i="3"/>
  <c r="P24" i="3"/>
  <c r="P19" i="3"/>
  <c r="P15" i="3"/>
  <c r="P9" i="3"/>
  <c r="Q2" i="3"/>
  <c r="P10" i="3"/>
  <c r="Q131" i="3" l="1"/>
  <c r="Q127" i="3"/>
  <c r="Q107" i="3"/>
  <c r="Q106" i="3"/>
  <c r="Q105" i="3"/>
  <c r="Q104" i="3"/>
  <c r="Q94" i="3"/>
  <c r="Q90" i="3"/>
  <c r="Q108" i="3"/>
  <c r="Q128" i="3"/>
  <c r="Q111" i="3"/>
  <c r="Q110" i="3"/>
  <c r="Q109" i="3"/>
  <c r="Q93" i="3"/>
  <c r="Q132" i="3"/>
  <c r="Q130" i="3"/>
  <c r="Q126" i="3"/>
  <c r="Q125" i="3"/>
  <c r="Q124" i="3"/>
  <c r="Q96" i="3"/>
  <c r="Q89" i="3"/>
  <c r="Q88" i="3"/>
  <c r="Q87" i="3"/>
  <c r="Q86" i="3"/>
  <c r="Q76" i="3"/>
  <c r="Q114" i="3"/>
  <c r="Q100" i="3"/>
  <c r="Q83" i="3"/>
  <c r="Q79" i="3"/>
  <c r="Q129" i="3"/>
  <c r="Q99" i="3"/>
  <c r="Q95" i="3"/>
  <c r="Q75" i="3"/>
  <c r="Q113" i="3"/>
  <c r="Q103" i="3"/>
  <c r="Q92" i="3"/>
  <c r="Q82" i="3"/>
  <c r="Q78" i="3"/>
  <c r="Q98" i="3"/>
  <c r="Q74" i="3"/>
  <c r="Q112" i="3"/>
  <c r="Q102" i="3"/>
  <c r="Q81" i="3"/>
  <c r="Q77" i="3"/>
  <c r="Q122" i="3"/>
  <c r="Q80" i="3"/>
  <c r="Q33" i="3"/>
  <c r="Q69" i="3"/>
  <c r="Q65" i="3"/>
  <c r="Q61" i="3"/>
  <c r="Q57" i="3"/>
  <c r="Q53" i="3"/>
  <c r="Q117" i="3"/>
  <c r="Q73" i="3"/>
  <c r="Q52" i="3"/>
  <c r="Q47" i="3"/>
  <c r="Q121" i="3"/>
  <c r="Q101" i="3"/>
  <c r="Q85" i="3"/>
  <c r="Q72" i="3"/>
  <c r="Q68" i="3"/>
  <c r="Q64" i="3"/>
  <c r="Q60" i="3"/>
  <c r="Q56" i="3"/>
  <c r="Q46" i="3"/>
  <c r="Q116" i="3"/>
  <c r="Q97" i="3"/>
  <c r="Q51" i="3"/>
  <c r="Q120" i="3"/>
  <c r="Q91" i="3"/>
  <c r="Q71" i="3"/>
  <c r="Q67" i="3"/>
  <c r="Q63" i="3"/>
  <c r="Q59" i="3"/>
  <c r="Q55" i="3"/>
  <c r="Q50" i="3"/>
  <c r="Q45" i="3"/>
  <c r="Q119" i="3"/>
  <c r="Q118" i="3"/>
  <c r="Q48" i="3"/>
  <c r="Q44" i="3"/>
  <c r="Q123" i="3"/>
  <c r="Q43" i="3"/>
  <c r="Q49" i="3"/>
  <c r="Q115" i="3"/>
  <c r="Q70" i="3"/>
  <c r="Q66" i="3"/>
  <c r="Q42" i="3"/>
  <c r="Q41" i="3"/>
  <c r="Q62" i="3"/>
  <c r="Q84" i="3"/>
  <c r="Q58" i="3"/>
  <c r="Q54" i="3"/>
  <c r="Q40" i="3"/>
  <c r="Q36" i="3"/>
  <c r="Q39" i="3"/>
  <c r="Q35" i="3"/>
  <c r="Q38" i="3"/>
  <c r="Q34" i="3"/>
  <c r="Q37" i="3"/>
  <c r="Q32" i="3"/>
  <c r="Q28" i="3"/>
  <c r="Q18" i="3"/>
  <c r="Q14" i="3"/>
  <c r="Q31" i="3"/>
  <c r="Q27" i="3"/>
  <c r="Q22" i="3"/>
  <c r="Q17" i="3"/>
  <c r="Q13" i="3"/>
  <c r="Q26" i="3"/>
  <c r="Q21" i="3"/>
  <c r="Q30" i="3"/>
  <c r="Q25" i="3"/>
  <c r="Q16" i="3"/>
  <c r="Q12" i="3"/>
  <c r="Q11" i="3"/>
  <c r="Q29" i="3"/>
  <c r="Q20" i="3"/>
  <c r="Q24" i="3"/>
  <c r="Q19" i="3"/>
  <c r="Q15" i="3"/>
  <c r="Q23" i="3"/>
  <c r="Q9" i="3"/>
  <c r="R2" i="3"/>
  <c r="Q10" i="3"/>
  <c r="R131" i="3" l="1"/>
  <c r="R127" i="3"/>
  <c r="R123" i="3"/>
  <c r="R119" i="3"/>
  <c r="R115" i="3"/>
  <c r="R111" i="3"/>
  <c r="R107" i="3"/>
  <c r="R103" i="3"/>
  <c r="R99" i="3"/>
  <c r="R108" i="3"/>
  <c r="R128" i="3"/>
  <c r="R110" i="3"/>
  <c r="R109" i="3"/>
  <c r="R93" i="3"/>
  <c r="R89" i="3"/>
  <c r="R85" i="3"/>
  <c r="R114" i="3"/>
  <c r="R113" i="3"/>
  <c r="R112" i="3"/>
  <c r="R132" i="3"/>
  <c r="R100" i="3"/>
  <c r="R83" i="3"/>
  <c r="R79" i="3"/>
  <c r="R129" i="3"/>
  <c r="R104" i="3"/>
  <c r="R95" i="3"/>
  <c r="R75" i="3"/>
  <c r="R92" i="3"/>
  <c r="R90" i="3"/>
  <c r="R82" i="3"/>
  <c r="R78" i="3"/>
  <c r="R130" i="3"/>
  <c r="R98" i="3"/>
  <c r="R74" i="3"/>
  <c r="R102" i="3"/>
  <c r="R81" i="3"/>
  <c r="R77" i="3"/>
  <c r="R118" i="3"/>
  <c r="R117" i="3"/>
  <c r="R116" i="3"/>
  <c r="R106" i="3"/>
  <c r="R97" i="3"/>
  <c r="R94" i="3"/>
  <c r="R73" i="3"/>
  <c r="R126" i="3"/>
  <c r="R105" i="3"/>
  <c r="R52" i="3"/>
  <c r="R47" i="3"/>
  <c r="R121" i="3"/>
  <c r="R101" i="3"/>
  <c r="R72" i="3"/>
  <c r="R68" i="3"/>
  <c r="R64" i="3"/>
  <c r="R60" i="3"/>
  <c r="R56" i="3"/>
  <c r="R46" i="3"/>
  <c r="R125" i="3"/>
  <c r="R87" i="3"/>
  <c r="R76" i="3"/>
  <c r="R51" i="3"/>
  <c r="R120" i="3"/>
  <c r="R91" i="3"/>
  <c r="R71" i="3"/>
  <c r="R67" i="3"/>
  <c r="R63" i="3"/>
  <c r="R59" i="3"/>
  <c r="R55" i="3"/>
  <c r="R50" i="3"/>
  <c r="R45" i="3"/>
  <c r="R124" i="3"/>
  <c r="R84" i="3"/>
  <c r="R70" i="3"/>
  <c r="R66" i="3"/>
  <c r="R62" i="3"/>
  <c r="R58" i="3"/>
  <c r="R54" i="3"/>
  <c r="R49" i="3"/>
  <c r="R122" i="3"/>
  <c r="R80" i="3"/>
  <c r="R69" i="3"/>
  <c r="R65" i="3"/>
  <c r="R61" i="3"/>
  <c r="R57" i="3"/>
  <c r="R53" i="3"/>
  <c r="R96" i="3"/>
  <c r="R43" i="3"/>
  <c r="R42" i="3"/>
  <c r="R88" i="3"/>
  <c r="R48" i="3"/>
  <c r="R41" i="3"/>
  <c r="R86" i="3"/>
  <c r="R44" i="3"/>
  <c r="R39" i="3"/>
  <c r="R35" i="3"/>
  <c r="R38" i="3"/>
  <c r="R34" i="3"/>
  <c r="R37" i="3"/>
  <c r="R33" i="3"/>
  <c r="R36" i="3"/>
  <c r="R40" i="3"/>
  <c r="R31" i="3"/>
  <c r="R27" i="3"/>
  <c r="R13" i="3"/>
  <c r="R22" i="3"/>
  <c r="R17" i="3"/>
  <c r="R26" i="3"/>
  <c r="R21" i="3"/>
  <c r="R30" i="3"/>
  <c r="R25" i="3"/>
  <c r="R16" i="3"/>
  <c r="R12" i="3"/>
  <c r="R11" i="3"/>
  <c r="R29" i="3"/>
  <c r="R20" i="3"/>
  <c r="R24" i="3"/>
  <c r="R19" i="3"/>
  <c r="R15" i="3"/>
  <c r="R23" i="3"/>
  <c r="R32" i="3"/>
  <c r="R28" i="3"/>
  <c r="R18" i="3"/>
  <c r="R14" i="3"/>
  <c r="R9" i="3"/>
  <c r="R10" i="3"/>
  <c r="S2" i="3"/>
  <c r="S130" i="3" l="1"/>
  <c r="S132" i="3"/>
  <c r="S131" i="3"/>
  <c r="S128" i="3"/>
  <c r="S110" i="3"/>
  <c r="S109" i="3"/>
  <c r="S93" i="3"/>
  <c r="S114" i="3"/>
  <c r="S113" i="3"/>
  <c r="S112" i="3"/>
  <c r="S111" i="3"/>
  <c r="S129" i="3"/>
  <c r="S118" i="3"/>
  <c r="S117" i="3"/>
  <c r="S116" i="3"/>
  <c r="S115" i="3"/>
  <c r="S92" i="3"/>
  <c r="S127" i="3"/>
  <c r="S104" i="3"/>
  <c r="S95" i="3"/>
  <c r="S75" i="3"/>
  <c r="S108" i="3"/>
  <c r="S99" i="3"/>
  <c r="S90" i="3"/>
  <c r="S82" i="3"/>
  <c r="S78" i="3"/>
  <c r="S103" i="3"/>
  <c r="S98" i="3"/>
  <c r="S74" i="3"/>
  <c r="S107" i="3"/>
  <c r="S102" i="3"/>
  <c r="S81" i="3"/>
  <c r="S77" i="3"/>
  <c r="S106" i="3"/>
  <c r="S97" i="3"/>
  <c r="S94" i="3"/>
  <c r="S73" i="3"/>
  <c r="S122" i="3"/>
  <c r="S121" i="3"/>
  <c r="S120" i="3"/>
  <c r="S119" i="3"/>
  <c r="S101" i="3"/>
  <c r="S91" i="3"/>
  <c r="S84" i="3"/>
  <c r="S80" i="3"/>
  <c r="S72" i="3"/>
  <c r="S68" i="3"/>
  <c r="S64" i="3"/>
  <c r="S60" i="3"/>
  <c r="S56" i="3"/>
  <c r="S46" i="3"/>
  <c r="S125" i="3"/>
  <c r="S87" i="3"/>
  <c r="S85" i="3"/>
  <c r="S76" i="3"/>
  <c r="S51" i="3"/>
  <c r="S89" i="3"/>
  <c r="S83" i="3"/>
  <c r="S71" i="3"/>
  <c r="S67" i="3"/>
  <c r="S63" i="3"/>
  <c r="S59" i="3"/>
  <c r="S55" i="3"/>
  <c r="S50" i="3"/>
  <c r="S45" i="3"/>
  <c r="S124" i="3"/>
  <c r="S100" i="3"/>
  <c r="S79" i="3"/>
  <c r="S70" i="3"/>
  <c r="S66" i="3"/>
  <c r="S62" i="3"/>
  <c r="S58" i="3"/>
  <c r="S54" i="3"/>
  <c r="S49" i="3"/>
  <c r="S123" i="3"/>
  <c r="S96" i="3"/>
  <c r="S88" i="3"/>
  <c r="S86" i="3"/>
  <c r="S48" i="3"/>
  <c r="S126" i="3"/>
  <c r="S105" i="3"/>
  <c r="S52" i="3"/>
  <c r="S47" i="3"/>
  <c r="S57" i="3"/>
  <c r="S43" i="3"/>
  <c r="S53" i="3"/>
  <c r="S42" i="3"/>
  <c r="S41" i="3"/>
  <c r="S44" i="3"/>
  <c r="S69" i="3"/>
  <c r="S61" i="3"/>
  <c r="S65" i="3"/>
  <c r="S39" i="3"/>
  <c r="S38" i="3"/>
  <c r="S34" i="3"/>
  <c r="S37" i="3"/>
  <c r="S33" i="3"/>
  <c r="S35" i="3"/>
  <c r="S40" i="3"/>
  <c r="S36" i="3"/>
  <c r="S22" i="3"/>
  <c r="S17" i="3"/>
  <c r="S13" i="3"/>
  <c r="S11" i="3"/>
  <c r="S26" i="3"/>
  <c r="S21" i="3"/>
  <c r="S30" i="3"/>
  <c r="S25" i="3"/>
  <c r="S16" i="3"/>
  <c r="S12" i="3"/>
  <c r="S29" i="3"/>
  <c r="S20" i="3"/>
  <c r="S24" i="3"/>
  <c r="S19" i="3"/>
  <c r="S15" i="3"/>
  <c r="S23" i="3"/>
  <c r="S32" i="3"/>
  <c r="S28" i="3"/>
  <c r="S18" i="3"/>
  <c r="S14" i="3"/>
  <c r="S31" i="3"/>
  <c r="S27" i="3"/>
  <c r="S9" i="3"/>
  <c r="T2" i="3"/>
  <c r="S10" i="3"/>
  <c r="T130" i="3" l="1"/>
  <c r="T126" i="3"/>
  <c r="T122" i="3"/>
  <c r="T118" i="3"/>
  <c r="T114" i="3"/>
  <c r="T110" i="3"/>
  <c r="T106" i="3"/>
  <c r="T102" i="3"/>
  <c r="T98" i="3"/>
  <c r="T113" i="3"/>
  <c r="T112" i="3"/>
  <c r="T111" i="3"/>
  <c r="T129" i="3"/>
  <c r="T117" i="3"/>
  <c r="T116" i="3"/>
  <c r="T115" i="3"/>
  <c r="T92" i="3"/>
  <c r="T88" i="3"/>
  <c r="T84" i="3"/>
  <c r="T132" i="3"/>
  <c r="T121" i="3"/>
  <c r="T120" i="3"/>
  <c r="T119" i="3"/>
  <c r="T128" i="3"/>
  <c r="T108" i="3"/>
  <c r="T99" i="3"/>
  <c r="T90" i="3"/>
  <c r="T82" i="3"/>
  <c r="T78" i="3"/>
  <c r="T103" i="3"/>
  <c r="T74" i="3"/>
  <c r="T109" i="3"/>
  <c r="T107" i="3"/>
  <c r="T81" i="3"/>
  <c r="T77" i="3"/>
  <c r="T97" i="3"/>
  <c r="T94" i="3"/>
  <c r="T73" i="3"/>
  <c r="T131" i="3"/>
  <c r="T101" i="3"/>
  <c r="T91" i="3"/>
  <c r="T80" i="3"/>
  <c r="T125" i="3"/>
  <c r="T124" i="3"/>
  <c r="T123" i="3"/>
  <c r="T105" i="3"/>
  <c r="T96" i="3"/>
  <c r="T87" i="3"/>
  <c r="T86" i="3"/>
  <c r="T85" i="3"/>
  <c r="T76" i="3"/>
  <c r="T95" i="3"/>
  <c r="T51" i="3"/>
  <c r="T89" i="3"/>
  <c r="T83" i="3"/>
  <c r="T71" i="3"/>
  <c r="T67" i="3"/>
  <c r="T63" i="3"/>
  <c r="T59" i="3"/>
  <c r="T55" i="3"/>
  <c r="T50" i="3"/>
  <c r="T45" i="3"/>
  <c r="T104" i="3"/>
  <c r="T100" i="3"/>
  <c r="T79" i="3"/>
  <c r="T70" i="3"/>
  <c r="T66" i="3"/>
  <c r="T62" i="3"/>
  <c r="T58" i="3"/>
  <c r="T54" i="3"/>
  <c r="T49" i="3"/>
  <c r="T48" i="3"/>
  <c r="T69" i="3"/>
  <c r="T65" i="3"/>
  <c r="T61" i="3"/>
  <c r="T57" i="3"/>
  <c r="T53" i="3"/>
  <c r="T72" i="3"/>
  <c r="T68" i="3"/>
  <c r="T64" i="3"/>
  <c r="T60" i="3"/>
  <c r="T56" i="3"/>
  <c r="T46" i="3"/>
  <c r="T127" i="3"/>
  <c r="T42" i="3"/>
  <c r="T93" i="3"/>
  <c r="T41" i="3"/>
  <c r="T75" i="3"/>
  <c r="T52" i="3"/>
  <c r="T47" i="3"/>
  <c r="T44" i="3"/>
  <c r="T43" i="3"/>
  <c r="T38" i="3"/>
  <c r="T34" i="3"/>
  <c r="T37" i="3"/>
  <c r="T33" i="3"/>
  <c r="T40" i="3"/>
  <c r="T36" i="3"/>
  <c r="T39" i="3"/>
  <c r="T35" i="3"/>
  <c r="T26" i="3"/>
  <c r="T21" i="3"/>
  <c r="T12" i="3"/>
  <c r="T11" i="3"/>
  <c r="T30" i="3"/>
  <c r="T25" i="3"/>
  <c r="T16" i="3"/>
  <c r="T29" i="3"/>
  <c r="T20" i="3"/>
  <c r="T24" i="3"/>
  <c r="T19" i="3"/>
  <c r="T15" i="3"/>
  <c r="T23" i="3"/>
  <c r="T32" i="3"/>
  <c r="T28" i="3"/>
  <c r="T18" i="3"/>
  <c r="T14" i="3"/>
  <c r="T31" i="3"/>
  <c r="T27" i="3"/>
  <c r="T22" i="3"/>
  <c r="T17" i="3"/>
  <c r="T13" i="3"/>
  <c r="T9" i="3"/>
  <c r="T10" i="3"/>
  <c r="U2" i="3"/>
  <c r="U129" i="3" l="1"/>
  <c r="U117" i="3"/>
  <c r="U116" i="3"/>
  <c r="U115" i="3"/>
  <c r="U114" i="3"/>
  <c r="U92" i="3"/>
  <c r="U132" i="3"/>
  <c r="U121" i="3"/>
  <c r="U120" i="3"/>
  <c r="U119" i="3"/>
  <c r="U118" i="3"/>
  <c r="U125" i="3"/>
  <c r="U124" i="3"/>
  <c r="U123" i="3"/>
  <c r="U122" i="3"/>
  <c r="U97" i="3"/>
  <c r="U96" i="3"/>
  <c r="U95" i="3"/>
  <c r="U91" i="3"/>
  <c r="U131" i="3"/>
  <c r="U128" i="3"/>
  <c r="U110" i="3"/>
  <c r="U103" i="3"/>
  <c r="U74" i="3"/>
  <c r="U109" i="3"/>
  <c r="U107" i="3"/>
  <c r="U98" i="3"/>
  <c r="U81" i="3"/>
  <c r="U77" i="3"/>
  <c r="U130" i="3"/>
  <c r="U113" i="3"/>
  <c r="U102" i="3"/>
  <c r="U94" i="3"/>
  <c r="U106" i="3"/>
  <c r="U101" i="3"/>
  <c r="U80" i="3"/>
  <c r="U112" i="3"/>
  <c r="U105" i="3"/>
  <c r="U87" i="3"/>
  <c r="U86" i="3"/>
  <c r="U85" i="3"/>
  <c r="U84" i="3"/>
  <c r="U76" i="3"/>
  <c r="U126" i="3"/>
  <c r="U100" i="3"/>
  <c r="U89" i="3"/>
  <c r="U88" i="3"/>
  <c r="U83" i="3"/>
  <c r="U79" i="3"/>
  <c r="U108" i="3"/>
  <c r="U78" i="3"/>
  <c r="U73" i="3"/>
  <c r="U71" i="3"/>
  <c r="U67" i="3"/>
  <c r="U63" i="3"/>
  <c r="U59" i="3"/>
  <c r="U55" i="3"/>
  <c r="U50" i="3"/>
  <c r="U45" i="3"/>
  <c r="U104" i="3"/>
  <c r="U44" i="3"/>
  <c r="U70" i="3"/>
  <c r="U66" i="3"/>
  <c r="U62" i="3"/>
  <c r="U58" i="3"/>
  <c r="U54" i="3"/>
  <c r="U49" i="3"/>
  <c r="U48" i="3"/>
  <c r="U69" i="3"/>
  <c r="U65" i="3"/>
  <c r="U61" i="3"/>
  <c r="U57" i="3"/>
  <c r="U53" i="3"/>
  <c r="U127" i="3"/>
  <c r="U93" i="3"/>
  <c r="U75" i="3"/>
  <c r="U52" i="3"/>
  <c r="U47" i="3"/>
  <c r="U111" i="3"/>
  <c r="U51" i="3"/>
  <c r="U99" i="3"/>
  <c r="U64" i="3"/>
  <c r="U46" i="3"/>
  <c r="U42" i="3"/>
  <c r="U60" i="3"/>
  <c r="U41" i="3"/>
  <c r="U56" i="3"/>
  <c r="U90" i="3"/>
  <c r="U72" i="3"/>
  <c r="U43" i="3"/>
  <c r="U82" i="3"/>
  <c r="U68" i="3"/>
  <c r="U38" i="3"/>
  <c r="U34" i="3"/>
  <c r="U37" i="3"/>
  <c r="U33" i="3"/>
  <c r="U40" i="3"/>
  <c r="U36" i="3"/>
  <c r="U39" i="3"/>
  <c r="U35" i="3"/>
  <c r="U30" i="3"/>
  <c r="U25" i="3"/>
  <c r="U16" i="3"/>
  <c r="U12" i="3"/>
  <c r="U11" i="3"/>
  <c r="U29" i="3"/>
  <c r="U20" i="3"/>
  <c r="U24" i="3"/>
  <c r="U19" i="3"/>
  <c r="U15" i="3"/>
  <c r="U23" i="3"/>
  <c r="U32" i="3"/>
  <c r="U28" i="3"/>
  <c r="U18" i="3"/>
  <c r="U14" i="3"/>
  <c r="U31" i="3"/>
  <c r="U27" i="3"/>
  <c r="U22" i="3"/>
  <c r="U17" i="3"/>
  <c r="U13" i="3"/>
  <c r="U26" i="3"/>
  <c r="U21" i="3"/>
  <c r="U9" i="3"/>
  <c r="U10" i="3"/>
  <c r="V2" i="3"/>
  <c r="V129" i="3" l="1"/>
  <c r="V125" i="3"/>
  <c r="V121" i="3"/>
  <c r="V117" i="3"/>
  <c r="V113" i="3"/>
  <c r="V109" i="3"/>
  <c r="V105" i="3"/>
  <c r="V101" i="3"/>
  <c r="V97" i="3"/>
  <c r="V132" i="3"/>
  <c r="V120" i="3"/>
  <c r="V119" i="3"/>
  <c r="V118" i="3"/>
  <c r="V124" i="3"/>
  <c r="V123" i="3"/>
  <c r="V122" i="3"/>
  <c r="V96" i="3"/>
  <c r="V95" i="3"/>
  <c r="V91" i="3"/>
  <c r="V87" i="3"/>
  <c r="V126" i="3"/>
  <c r="V100" i="3"/>
  <c r="V99" i="3"/>
  <c r="V98" i="3"/>
  <c r="V114" i="3"/>
  <c r="V107" i="3"/>
  <c r="V81" i="3"/>
  <c r="V77" i="3"/>
  <c r="V130" i="3"/>
  <c r="V102" i="3"/>
  <c r="V94" i="3"/>
  <c r="V92" i="3"/>
  <c r="V73" i="3"/>
  <c r="V106" i="3"/>
  <c r="V80" i="3"/>
  <c r="V131" i="3"/>
  <c r="V112" i="3"/>
  <c r="V86" i="3"/>
  <c r="V85" i="3"/>
  <c r="V84" i="3"/>
  <c r="V76" i="3"/>
  <c r="V116" i="3"/>
  <c r="V89" i="3"/>
  <c r="V88" i="3"/>
  <c r="V83" i="3"/>
  <c r="V79" i="3"/>
  <c r="V127" i="3"/>
  <c r="V111" i="3"/>
  <c r="V104" i="3"/>
  <c r="V93" i="3"/>
  <c r="V75" i="3"/>
  <c r="V44" i="3"/>
  <c r="V70" i="3"/>
  <c r="V66" i="3"/>
  <c r="V62" i="3"/>
  <c r="V58" i="3"/>
  <c r="V54" i="3"/>
  <c r="V49" i="3"/>
  <c r="V110" i="3"/>
  <c r="V74" i="3"/>
  <c r="V48" i="3"/>
  <c r="V69" i="3"/>
  <c r="V65" i="3"/>
  <c r="V61" i="3"/>
  <c r="V57" i="3"/>
  <c r="V53" i="3"/>
  <c r="V128" i="3"/>
  <c r="V103" i="3"/>
  <c r="V52" i="3"/>
  <c r="V47" i="3"/>
  <c r="V115" i="3"/>
  <c r="V90" i="3"/>
  <c r="V82" i="3"/>
  <c r="V72" i="3"/>
  <c r="V68" i="3"/>
  <c r="V64" i="3"/>
  <c r="V60" i="3"/>
  <c r="V56" i="3"/>
  <c r="V46" i="3"/>
  <c r="V108" i="3"/>
  <c r="V78" i="3"/>
  <c r="V71" i="3"/>
  <c r="V67" i="3"/>
  <c r="V63" i="3"/>
  <c r="V59" i="3"/>
  <c r="V55" i="3"/>
  <c r="V50" i="3"/>
  <c r="V45" i="3"/>
  <c r="V41" i="3"/>
  <c r="V51" i="3"/>
  <c r="V43" i="3"/>
  <c r="V42" i="3"/>
  <c r="V37" i="3"/>
  <c r="V33" i="3"/>
  <c r="V34" i="3"/>
  <c r="V40" i="3"/>
  <c r="V36" i="3"/>
  <c r="V38" i="3"/>
  <c r="V39" i="3"/>
  <c r="V35" i="3"/>
  <c r="V29" i="3"/>
  <c r="V20" i="3"/>
  <c r="V24" i="3"/>
  <c r="V19" i="3"/>
  <c r="V15" i="3"/>
  <c r="V23" i="3"/>
  <c r="V32" i="3"/>
  <c r="V28" i="3"/>
  <c r="V18" i="3"/>
  <c r="V14" i="3"/>
  <c r="V31" i="3"/>
  <c r="V27" i="3"/>
  <c r="V22" i="3"/>
  <c r="V17" i="3"/>
  <c r="V13" i="3"/>
  <c r="V26" i="3"/>
  <c r="V21" i="3"/>
  <c r="V30" i="3"/>
  <c r="V25" i="3"/>
  <c r="V16" i="3"/>
  <c r="V12" i="3"/>
  <c r="V11" i="3"/>
  <c r="V9" i="3"/>
  <c r="W2" i="3"/>
  <c r="V10" i="3"/>
  <c r="W132" i="3" l="1"/>
  <c r="W128" i="3"/>
  <c r="W129" i="3"/>
  <c r="W124" i="3"/>
  <c r="W123" i="3"/>
  <c r="W122" i="3"/>
  <c r="W121" i="3"/>
  <c r="W96" i="3"/>
  <c r="W95" i="3"/>
  <c r="W91" i="3"/>
  <c r="W126" i="3"/>
  <c r="W125" i="3"/>
  <c r="W100" i="3"/>
  <c r="W99" i="3"/>
  <c r="W98" i="3"/>
  <c r="W97" i="3"/>
  <c r="W130" i="3"/>
  <c r="W127" i="3"/>
  <c r="W104" i="3"/>
  <c r="W103" i="3"/>
  <c r="W102" i="3"/>
  <c r="W101" i="3"/>
  <c r="W94" i="3"/>
  <c r="W90" i="3"/>
  <c r="W116" i="3"/>
  <c r="W109" i="3"/>
  <c r="W92" i="3"/>
  <c r="W73" i="3"/>
  <c r="W113" i="3"/>
  <c r="W106" i="3"/>
  <c r="W80" i="3"/>
  <c r="W131" i="3"/>
  <c r="W112" i="3"/>
  <c r="W86" i="3"/>
  <c r="W85" i="3"/>
  <c r="W84" i="3"/>
  <c r="W76" i="3"/>
  <c r="W105" i="3"/>
  <c r="W89" i="3"/>
  <c r="W88" i="3"/>
  <c r="W87" i="3"/>
  <c r="W83" i="3"/>
  <c r="W79" i="3"/>
  <c r="W120" i="3"/>
  <c r="W119" i="3"/>
  <c r="W118" i="3"/>
  <c r="W117" i="3"/>
  <c r="W111" i="3"/>
  <c r="W93" i="3"/>
  <c r="W75" i="3"/>
  <c r="W115" i="3"/>
  <c r="W108" i="3"/>
  <c r="W82" i="3"/>
  <c r="W78" i="3"/>
  <c r="W114" i="3"/>
  <c r="W70" i="3"/>
  <c r="W66" i="3"/>
  <c r="W62" i="3"/>
  <c r="W58" i="3"/>
  <c r="W54" i="3"/>
  <c r="W49" i="3"/>
  <c r="W110" i="3"/>
  <c r="W74" i="3"/>
  <c r="W48" i="3"/>
  <c r="W107" i="3"/>
  <c r="W81" i="3"/>
  <c r="W69" i="3"/>
  <c r="W65" i="3"/>
  <c r="W61" i="3"/>
  <c r="W57" i="3"/>
  <c r="W53" i="3"/>
  <c r="W52" i="3"/>
  <c r="W47" i="3"/>
  <c r="W77" i="3"/>
  <c r="W72" i="3"/>
  <c r="W68" i="3"/>
  <c r="W64" i="3"/>
  <c r="W60" i="3"/>
  <c r="W56" i="3"/>
  <c r="W46" i="3"/>
  <c r="W51" i="3"/>
  <c r="W44" i="3"/>
  <c r="W71" i="3"/>
  <c r="W41" i="3"/>
  <c r="W67" i="3"/>
  <c r="W63" i="3"/>
  <c r="W45" i="3"/>
  <c r="W59" i="3"/>
  <c r="W42" i="3"/>
  <c r="W55" i="3"/>
  <c r="W43" i="3"/>
  <c r="W50" i="3"/>
  <c r="W40" i="3"/>
  <c r="W36" i="3"/>
  <c r="W39" i="3"/>
  <c r="W35" i="3"/>
  <c r="W37" i="3"/>
  <c r="W38" i="3"/>
  <c r="W34" i="3"/>
  <c r="W33" i="3"/>
  <c r="W24" i="3"/>
  <c r="W19" i="3"/>
  <c r="W15" i="3"/>
  <c r="W23" i="3"/>
  <c r="W32" i="3"/>
  <c r="W28" i="3"/>
  <c r="W18" i="3"/>
  <c r="W14" i="3"/>
  <c r="W31" i="3"/>
  <c r="W27" i="3"/>
  <c r="W22" i="3"/>
  <c r="W17" i="3"/>
  <c r="W13" i="3"/>
  <c r="W26" i="3"/>
  <c r="W21" i="3"/>
  <c r="W30" i="3"/>
  <c r="W25" i="3"/>
  <c r="W16" i="3"/>
  <c r="W12" i="3"/>
  <c r="W11" i="3"/>
  <c r="W29" i="3"/>
  <c r="W20" i="3"/>
  <c r="W9" i="3"/>
  <c r="X2" i="3"/>
  <c r="W10" i="3"/>
  <c r="X132" i="3" l="1"/>
  <c r="X128" i="3"/>
  <c r="X124" i="3"/>
  <c r="X120" i="3"/>
  <c r="X116" i="3"/>
  <c r="X112" i="3"/>
  <c r="X108" i="3"/>
  <c r="X104" i="3"/>
  <c r="X100" i="3"/>
  <c r="X96" i="3"/>
  <c r="X126" i="3"/>
  <c r="X125" i="3"/>
  <c r="X99" i="3"/>
  <c r="X98" i="3"/>
  <c r="X97" i="3"/>
  <c r="X130" i="3"/>
  <c r="X127" i="3"/>
  <c r="X103" i="3"/>
  <c r="X102" i="3"/>
  <c r="X101" i="3"/>
  <c r="X94" i="3"/>
  <c r="X90" i="3"/>
  <c r="X86" i="3"/>
  <c r="X107" i="3"/>
  <c r="X106" i="3"/>
  <c r="X105" i="3"/>
  <c r="X119" i="3"/>
  <c r="X118" i="3"/>
  <c r="X117" i="3"/>
  <c r="X129" i="3"/>
  <c r="X113" i="3"/>
  <c r="X80" i="3"/>
  <c r="X131" i="3"/>
  <c r="X85" i="3"/>
  <c r="X84" i="3"/>
  <c r="X76" i="3"/>
  <c r="X89" i="3"/>
  <c r="X88" i="3"/>
  <c r="X87" i="3"/>
  <c r="X83" i="3"/>
  <c r="X79" i="3"/>
  <c r="X111" i="3"/>
  <c r="X93" i="3"/>
  <c r="X91" i="3"/>
  <c r="X75" i="3"/>
  <c r="X123" i="3"/>
  <c r="X122" i="3"/>
  <c r="X121" i="3"/>
  <c r="X115" i="3"/>
  <c r="X82" i="3"/>
  <c r="X78" i="3"/>
  <c r="X110" i="3"/>
  <c r="X74" i="3"/>
  <c r="X92" i="3"/>
  <c r="X48" i="3"/>
  <c r="X81" i="3"/>
  <c r="X69" i="3"/>
  <c r="X65" i="3"/>
  <c r="X61" i="3"/>
  <c r="X57" i="3"/>
  <c r="X53" i="3"/>
  <c r="X52" i="3"/>
  <c r="X47" i="3"/>
  <c r="X77" i="3"/>
  <c r="X72" i="3"/>
  <c r="X68" i="3"/>
  <c r="X64" i="3"/>
  <c r="X60" i="3"/>
  <c r="X56" i="3"/>
  <c r="X46" i="3"/>
  <c r="X109" i="3"/>
  <c r="X51" i="3"/>
  <c r="X71" i="3"/>
  <c r="X67" i="3"/>
  <c r="X63" i="3"/>
  <c r="X59" i="3"/>
  <c r="X55" i="3"/>
  <c r="X50" i="3"/>
  <c r="X45" i="3"/>
  <c r="X114" i="3"/>
  <c r="X95" i="3"/>
  <c r="X73" i="3"/>
  <c r="X70" i="3"/>
  <c r="X66" i="3"/>
  <c r="X62" i="3"/>
  <c r="X58" i="3"/>
  <c r="X54" i="3"/>
  <c r="X49" i="3"/>
  <c r="X43" i="3"/>
  <c r="X44" i="3"/>
  <c r="X42" i="3"/>
  <c r="X41" i="3"/>
  <c r="X40" i="3"/>
  <c r="X36" i="3"/>
  <c r="X39" i="3"/>
  <c r="X35" i="3"/>
  <c r="X38" i="3"/>
  <c r="X34" i="3"/>
  <c r="X37" i="3"/>
  <c r="X33" i="3"/>
  <c r="X23" i="3"/>
  <c r="X14" i="3"/>
  <c r="X32" i="3"/>
  <c r="X28" i="3"/>
  <c r="X18" i="3"/>
  <c r="X31" i="3"/>
  <c r="X27" i="3"/>
  <c r="X22" i="3"/>
  <c r="X17" i="3"/>
  <c r="X13" i="3"/>
  <c r="X26" i="3"/>
  <c r="X21" i="3"/>
  <c r="X30" i="3"/>
  <c r="X25" i="3"/>
  <c r="X16" i="3"/>
  <c r="X12" i="3"/>
  <c r="X11" i="3"/>
  <c r="X29" i="3"/>
  <c r="X20" i="3"/>
  <c r="X24" i="3"/>
  <c r="X19" i="3"/>
  <c r="X15" i="3"/>
  <c r="X9" i="3"/>
  <c r="Y2" i="3"/>
  <c r="X10" i="3"/>
  <c r="Y132" i="3" l="1"/>
  <c r="Y131" i="3"/>
  <c r="Y127" i="3"/>
  <c r="Y130" i="3"/>
  <c r="Y103" i="3"/>
  <c r="Y102" i="3"/>
  <c r="Y101" i="3"/>
  <c r="Y100" i="3"/>
  <c r="Y94" i="3"/>
  <c r="Y90" i="3"/>
  <c r="Y107" i="3"/>
  <c r="Y106" i="3"/>
  <c r="Y105" i="3"/>
  <c r="Y104" i="3"/>
  <c r="Y108" i="3"/>
  <c r="Y93" i="3"/>
  <c r="Y129" i="3"/>
  <c r="Y123" i="3"/>
  <c r="Y122" i="3"/>
  <c r="Y121" i="3"/>
  <c r="Y120" i="3"/>
  <c r="Y98" i="3"/>
  <c r="Y85" i="3"/>
  <c r="Y84" i="3"/>
  <c r="Y76" i="3"/>
  <c r="Y112" i="3"/>
  <c r="Y89" i="3"/>
  <c r="Y88" i="3"/>
  <c r="Y87" i="3"/>
  <c r="Y86" i="3"/>
  <c r="Y83" i="3"/>
  <c r="Y79" i="3"/>
  <c r="Y111" i="3"/>
  <c r="Y97" i="3"/>
  <c r="Y91" i="3"/>
  <c r="Y75" i="3"/>
  <c r="Y119" i="3"/>
  <c r="Y118" i="3"/>
  <c r="Y117" i="3"/>
  <c r="Y116" i="3"/>
  <c r="Y115" i="3"/>
  <c r="Y82" i="3"/>
  <c r="Y78" i="3"/>
  <c r="Y126" i="3"/>
  <c r="Y125" i="3"/>
  <c r="Y124" i="3"/>
  <c r="Y110" i="3"/>
  <c r="Y96" i="3"/>
  <c r="Y74" i="3"/>
  <c r="Y114" i="3"/>
  <c r="Y95" i="3"/>
  <c r="Y81" i="3"/>
  <c r="Y77" i="3"/>
  <c r="Y69" i="3"/>
  <c r="Y65" i="3"/>
  <c r="Y61" i="3"/>
  <c r="Y57" i="3"/>
  <c r="Y53" i="3"/>
  <c r="Y52" i="3"/>
  <c r="Y47" i="3"/>
  <c r="Y113" i="3"/>
  <c r="Y72" i="3"/>
  <c r="Y68" i="3"/>
  <c r="Y64" i="3"/>
  <c r="Y60" i="3"/>
  <c r="Y56" i="3"/>
  <c r="Y46" i="3"/>
  <c r="Y128" i="3"/>
  <c r="Y109" i="3"/>
  <c r="Y51" i="3"/>
  <c r="Y71" i="3"/>
  <c r="Y67" i="3"/>
  <c r="Y63" i="3"/>
  <c r="Y59" i="3"/>
  <c r="Y55" i="3"/>
  <c r="Y50" i="3"/>
  <c r="Y45" i="3"/>
  <c r="Y99" i="3"/>
  <c r="Y44" i="3"/>
  <c r="Y92" i="3"/>
  <c r="Y48" i="3"/>
  <c r="Y80" i="3"/>
  <c r="Y49" i="3"/>
  <c r="Y70" i="3"/>
  <c r="Y43" i="3"/>
  <c r="Y66" i="3"/>
  <c r="Y73" i="3"/>
  <c r="Y62" i="3"/>
  <c r="Y42" i="3"/>
  <c r="Y58" i="3"/>
  <c r="Y54" i="3"/>
  <c r="Y41" i="3"/>
  <c r="Y40" i="3"/>
  <c r="Y36" i="3"/>
  <c r="Y39" i="3"/>
  <c r="Y35" i="3"/>
  <c r="Y38" i="3"/>
  <c r="Y34" i="3"/>
  <c r="Y37" i="3"/>
  <c r="Y33" i="3"/>
  <c r="Y32" i="3"/>
  <c r="Y28" i="3"/>
  <c r="Y18" i="3"/>
  <c r="Y14" i="3"/>
  <c r="Y31" i="3"/>
  <c r="Y27" i="3"/>
  <c r="Y22" i="3"/>
  <c r="Y17" i="3"/>
  <c r="Y13" i="3"/>
  <c r="Y26" i="3"/>
  <c r="Y21" i="3"/>
  <c r="Y30" i="3"/>
  <c r="Y25" i="3"/>
  <c r="Y16" i="3"/>
  <c r="Y12" i="3"/>
  <c r="Y11" i="3"/>
  <c r="Y29" i="3"/>
  <c r="Y20" i="3"/>
  <c r="Y24" i="3"/>
  <c r="Y19" i="3"/>
  <c r="Y15" i="3"/>
  <c r="Y23" i="3"/>
  <c r="Y9" i="3"/>
  <c r="Y10" i="3"/>
</calcChain>
</file>

<file path=xl/sharedStrings.xml><?xml version="1.0" encoding="utf-8"?>
<sst xmlns="http://schemas.openxmlformats.org/spreadsheetml/2006/main" count="168" uniqueCount="108">
  <si>
    <t>byte</t>
  </si>
  <si>
    <t>value</t>
  </si>
  <si>
    <t xml:space="preserve"> </t>
  </si>
  <si>
    <t>first byte</t>
  </si>
  <si>
    <t>Byte</t>
  </si>
  <si>
    <t>Pos in string</t>
  </si>
  <si>
    <t>Code      : 0x23CB260100203808C060760000009200009D (144 Bits) Mesg Desc.: Power: On, Mode: 7 (UNKNOWN), Temp: 24C, Fan: 0 (Auto), Swing(V): 4 (UNKNOWN), Swing(H): 12 (UNKNOWN), Clock: 19:40, On Timer: 00:00, Off Timer: 00:00, Timer: -</t>
  </si>
  <si>
    <t>Code      : 0x23CB260100206008C68076000000920400EF (144 Bits) Mesg Desc.: Power: On, Mode: 4 (Auto), Temp: 24C, Fan: 0 (Auto), Swing(V): 0 (Auto), Swing(H): 12 (UNKNOWN), Clock: 19:40, On Timer: 00:00, Off Timer: 00:00, Timer: -</t>
  </si>
  <si>
    <t>Code      : 0x23CB260100205808C66076000000920400C7 (144 Bits) Mesg Desc.: Power: On, Mode: 3 (Cool), Temp: 24C, Fan: 0 (Auto), Swing(V): 4 (UNKNOWN), Swing(H): 12 (UNKNOWN), Clock: 19:40, On Timer: 00:00, Off Timer: 00:00, Timer: -</t>
  </si>
  <si>
    <t>Code      : 0x23CB260100205008C26076000000920400BB (144 Bits) Mesg Desc.: Power: On, Mode: 2 (Dry), Temp: 24C, Fan: 0 (Auto), Swing(V): 4 (UNKNOWN), Swing(H): 12 (UNKNOWN), Clock: 19:40, On Timer: 00:00, Off Timer: 00:00, Timer: -</t>
  </si>
  <si>
    <t>Code      : 0x23CB260100204808C06076000000920400B1 (144 Bits) Mesg Desc.: Power: On, Mode: 1 (Heat), Temp: 24C, Fan: 0 (Auto), Swing(V): 4 (UNKNOWN), Swing(H): 12 (UNKNOWN), Clock: 19:40, On Timer: 00:00, Off Timer: 00:00, Timer: -</t>
  </si>
  <si>
    <t>Temp</t>
  </si>
  <si>
    <t>0=16</t>
  </si>
  <si>
    <t>Code      : 0x23CB2601002048000040790000001106004D (144 Bits)  Mesg Desc.: Power: On, Mode: 1 (Heat), Temp: 16C, Fan: 0 (Auto), Swing(V): 0 (Auto), Swing(H): 0 (UNKNOWN), Clock: 20:10, On Timer: 00:00, Off Timer: 00:00, Timer: -</t>
  </si>
  <si>
    <t>Code      : 0x23CB2601002048010040790000001106004E (144 Bits)  Mesg Desc.: Power: On, Mode: 1 (Heat), Temp: 17C, Fan: 0 (Auto), Swing(V): 0 (Auto), Swing(H): 0 (UNKNOWN), Clock: 20:10, On Timer: 00:00, Off Timer: 00:00, Timer: -</t>
  </si>
  <si>
    <t>Code      : 0x23CB2601002048020040790000001106004F (144 Bits)  Mesg Desc.: Power: On, Mode: 1 (Heat), Temp: 18C, Fan: 0 (Auto), Swing(V): 0 (Auto), Swing(H): 0 (UNKNOWN), Clock: 20:10, On Timer: 00:00, Off Timer: 00:00, Timer: -</t>
  </si>
  <si>
    <t xml:space="preserve">Code      : 0x23CB2601002048010040790000001106004E (144 Bits)  Mesg Desc.: Power: On, Mode: 1 (Heat), Temp: 17C, Fan: 0 (Auto), Swing(V): 0 (Auto), Swing(H): 0 (UNKNOWN), Clock: 20:10, On Timer: 00:00, Off Timer: 00:00, Timer: - </t>
  </si>
  <si>
    <t>Code      : 0x23CB260100204800008079000000112600AD (144 Bits)  Mesg Desc.: Power: On, Mode: 1 (Heat), Temp: 16C, Fan: 0 (Auto), Swing(V): 0 (Auto), Swing(H): 0 (UNKNOWN), Clock: 20:10, On Time</t>
  </si>
  <si>
    <t>Mode</t>
  </si>
  <si>
    <t>20:23:00 ON</t>
  </si>
  <si>
    <t>20:23:00 OFF</t>
  </si>
  <si>
    <t>20:22:00 ON</t>
  </si>
  <si>
    <t>20:22:00 OFF</t>
  </si>
  <si>
    <t>Code      : 0x23CB26010000480000407A0000001126004E (144 Bits)  Mesg Desc.: Power: Off, Mode: 1 (Heat), Temp: 16C, Fan: 0 (Auto), Swing(V): 0 (Auto), Swing(H): 0 (UNKNOWN), Clock: 20:20, On Timer: 00:00, Off Timer: 00:00, Timer: -</t>
  </si>
  <si>
    <t>Code      : 0x23CB26010020480000407A0000001126006E (144 Bits)  Mesg Desc.: Power: On, Mode: 1 (Heat), Temp: 16C, Fan: 0 (Auto), Swing(V): 0 (Auto), Swing(H): 0 (UNKNOWN), Clock: 20:20, On Timer: 00:00, Off Timer: 00:00, Timer: -</t>
  </si>
  <si>
    <t>Code      : 0x23CB26010020480000407A0000001126006E (144 Bits)  Mesg Desc.: Power: On, Mode: 1 (Heat), Temp: 16C, Fan: 0 (Auto), Swing(V): 0 (Auto), Swing(H): 0 (UNKNOWN), Clock: 20:20, On Time</t>
  </si>
  <si>
    <t>ON/OFF</t>
  </si>
  <si>
    <t>--5-----</t>
  </si>
  <si>
    <t>1=ON</t>
  </si>
  <si>
    <t>imode ON</t>
  </si>
  <si>
    <t>imode OFF</t>
  </si>
  <si>
    <t>Code      : 0x23CB26010020480000407A0000001106004E (144 Bits) Mesg Desc.: Power: On, Mode: 1 (Heat), Temp: 16C, Fan: 0 (Auto), Swing(V): 0 (Auto), Swing(H): 0 (UNKNOWN), Clock: 20:20, On Timer: 00:00, Off Timer: 00:00, Timer: -</t>
  </si>
  <si>
    <t>imode ON 16C</t>
  </si>
  <si>
    <t>imode ON 10C</t>
  </si>
  <si>
    <t>Code      : 0x23CB26010020480000407B0000001106004F (144 Bits) Mesg Desc.: Power: On, Mode: 1 (Heat), Temp: 16C, Fan: 0 (Auto), Swing(V): 0 (Auto), Swing(H): 0 (UNKNOWN), Clock: 20:30, On Timer: 00:00, Off Timer: 00:00, Timer: -</t>
  </si>
  <si>
    <t>Code      : 0x23CB26010020480000807B000000112600AF (144 Bits) Mesg Desc.: Power: On, Mode: 1 (Heat), Temp: 16C, Fan: 0 (Auto), Swing(V): 0 (Auto), Swing(H): 0 (UNKNOWN), Clock: 20:30, On Timer: 00:00, Off Timer: 00:00, Timer: -</t>
  </si>
  <si>
    <t>imode 10C</t>
  </si>
  <si>
    <t>--5----</t>
  </si>
  <si>
    <t>1=10C (imode)</t>
  </si>
  <si>
    <t>mode fan</t>
  </si>
  <si>
    <t>mode auto</t>
  </si>
  <si>
    <t>mode cool</t>
  </si>
  <si>
    <t>mode dry</t>
  </si>
  <si>
    <t>mode heat</t>
  </si>
  <si>
    <t>imode 16C</t>
  </si>
  <si>
    <t>imode 17C</t>
  </si>
  <si>
    <t>imode 18C</t>
  </si>
  <si>
    <t>imode 10C =&gt; 16C</t>
  </si>
  <si>
    <t>imode temp change</t>
  </si>
  <si>
    <t>imode ON =&gt; OFF</t>
  </si>
  <si>
    <t>AC ON =&gt; OFF</t>
  </si>
  <si>
    <t>Mode switch</t>
  </si>
  <si>
    <t>Fan silent</t>
  </si>
  <si>
    <t>fan 1</t>
  </si>
  <si>
    <t>fan 2</t>
  </si>
  <si>
    <t>fan 3</t>
  </si>
  <si>
    <t>fan 4</t>
  </si>
  <si>
    <t>fan auto</t>
  </si>
  <si>
    <t>Code      : 0x23CB26010020480000457D00000011260076 (144 Bits) Mesg Desc.: Power: On, Mode: 1 (Heat), Temp: 16C, Fan: 6 (Quiet), Swing(V): 0 (Auto), Swing(H): 0 (UNKNOWN), Clock: 20:50, On Timer: 00:00, Off Timer: 00:00, Timer: -</t>
  </si>
  <si>
    <t>Code      : 0x23CB26010020480000417D00000011260072 (144 Bits) Mesg Desc.: Power: On, Mode: 1 (Heat), Temp: 16C, Fan: 1 (Low), Swing(V): 0 (Auto), Swing(H): 0 (UNKNOWN), Clock: 20:50, On Timer: 00:00, Off Timer: 00:00, Timer: -</t>
  </si>
  <si>
    <t>Code      : 0x23CB26010020480000427D00000011260073 (144 Bits) Mesg Desc.: Power: On, Mode: 1 (Heat), Temp: 16C, Fan: 2 (Medium), Swing(V): 0 (Auto), Swing(H): 0 (UNKNOWN), Clock: 20:50, On Timer: 00:00, Off Timer: 00:00, Timer: -</t>
  </si>
  <si>
    <t>Code      : 0x23CB26010020480000437D00000011260074 (144 Bits) Mesg Desc.: Power: On, Mode: 1 (Heat), Temp: 16C, Fan: 3 (UNKNOWN), Swing(V): 0 (Auto), Swing(H): 0 (UNKNOWN), Clock: 20:50, On Timer: 00:00, Off Timer: 00:00, Timer: -</t>
  </si>
  <si>
    <t>Code      : 0x23CB26010020480000447D00000011260075 (144 Bits) Mesg Desc.: Power: On, Mode: 1 (Heat), Temp: 16C, Fan: 4 (High), Swing(V): 0 (Auto), Swing(H): 0 (UNKNOWN), Clock: 20:50, On Timer: 00:00, Off Timer: 00:00, Timer: -</t>
  </si>
  <si>
    <t>Code      : 0x23CB26010020480000807D000000112600B1 (144 Bits) Mesg Desc.: Power: On, Mode: 1 (Heat), Temp: 16C, Fan: 0 (Auto), Swing(V): 0 (Auto), Swing(H): 0 (UNKNOWN), Clock: 20:50, On Timer: 00:00, Off Timer: 00:00, Timer: -</t>
  </si>
  <si>
    <t>Fan</t>
  </si>
  <si>
    <t>-----210</t>
  </si>
  <si>
    <t>powerful ON</t>
  </si>
  <si>
    <t>powerful OFF</t>
  </si>
  <si>
    <t>Code      : 0x23CB26010020480000407D000000110E0059 (144 Bits)Mesg Desc.: Power: On, Mode: 1 (Heat), Temp: 16C, Fan: 0 (Auto), Swing(V): 0 (Auto), Swing(H): 0 (UNKNOWN), Clock: 20:50, On Timer: 00:00, Off Timer: 00:00, Timer: -</t>
  </si>
  <si>
    <t>Code      : 0x23CB26010020480000407D00000011060051 (144 Bits)Mesg Desc.: Power: On, Mode: 1 (Heat), Temp: 16C, Fan: 0 (Auto), Swing(V): 0 (Auto), Swing(H): 0 (UNKNOWN), Clock: 20:50, On Timer: 00:00, Off Timer: 00:00, Timer: -</t>
  </si>
  <si>
    <t>Powerful ON/OFF</t>
  </si>
  <si>
    <t>0=16C, 1=10C (in imode)</t>
  </si>
  <si>
    <t>---3---</t>
  </si>
  <si>
    <t>powerful: 1=ON</t>
  </si>
  <si>
    <t>natural flow ON</t>
  </si>
  <si>
    <t>natural flow Off</t>
  </si>
  <si>
    <t>natural flow ON/OFF in FAN mode</t>
  </si>
  <si>
    <t>Code      : 0x23CB260100203808C0607E00000011000226 (144 Bits)Mesg Desc.: Power: On, Mode: 7 (UNKNOWN), Temp: 24C, Fan: 0 (Auto), Swing(V): 4 (UNKNOWN), Swing(H): 12 (UNKNOWN), Clock: 21:00, On Timer: 00:00, Off Timer: 00:00, Timer: -</t>
  </si>
  <si>
    <t>Code      : 0x23CB260100203808C0607E00000011000024 (144 Bits)Mesg Desc.: Power: On, Mode: 7 (UNKNOWN), Temp: 24C, Fan: 0 (Auto), Swing(V): 4 (UNKNOWN), Swing(H): 12 (UNKNOWN), Clock: 21:00, On Timer: 00:00, Off Timer: 00:00, Timer: -</t>
  </si>
  <si>
    <t>nat flow</t>
  </si>
  <si>
    <t>------1-</t>
  </si>
  <si>
    <t>1 = on</t>
  </si>
  <si>
    <t>econocool in COOL mode</t>
  </si>
  <si>
    <t>Econ cool ON</t>
  </si>
  <si>
    <t>Econ cool OFF</t>
  </si>
  <si>
    <t>Code      : 0x23CB260100205808C6407F0000003104004F (144 Bits)Mesg Desc.: Power: On, Mode: 3 (Cool), Temp: 24C, Fan: 0 (Auto), Swing(V): 0 (Auto), Swing(H): 12 (UNKNOWN), Clock: 21:10, On Timer: 00:00, Off Timer: 00:00, Timer: -</t>
  </si>
  <si>
    <t>Code      : 0x23CB260100205808C6607F0000001104004F (144 Bits)Mesg Desc.: Power: On, Mode: 3 (Cool), Temp: 24C, Fan: 0 (Auto), Swing(V): 4 (UNKNOWN), Swing(H): 12 (UNKNOWN), Clock: 21:10, On Timer: 00:00, Off Timer: 00:00, Timer: -</t>
  </si>
  <si>
    <t>eco cool</t>
  </si>
  <si>
    <t>Weekly timer on/off</t>
  </si>
  <si>
    <t>timer ON</t>
  </si>
  <si>
    <t>timer off</t>
  </si>
  <si>
    <t>Code      : 0x23CB260100205808C6607F00000811040057 (144 Bits)Mesg Desc.: Power: On, Mode: 3 (Cool), Temp: 24C, Fan: 0 (Auto), Swing(V): 4 (UNKNOWN), Swing(H): 12 (UNKNOWN), Clock: 21:10, On Timer: 00:00, Off Timer: 00:00, Timer: -</t>
  </si>
  <si>
    <t>wk-timer</t>
  </si>
  <si>
    <t>----3---</t>
  </si>
  <si>
    <t>1=on</t>
  </si>
  <si>
    <t>---432--</t>
  </si>
  <si>
    <t>----3210</t>
  </si>
  <si>
    <t>Protocol  : MITSUBISHI_AC</t>
  </si>
  <si>
    <t>off  16</t>
  </si>
  <si>
    <t>on</t>
  </si>
  <si>
    <t>10</t>
  </si>
  <si>
    <t>16</t>
  </si>
  <si>
    <t xml:space="preserve">off </t>
  </si>
  <si>
    <t>Code      : 0x23CB260100204800C0783F000000920438C2 (144 Bits)Mesg Desc.: Power: On, Mode: 1 (Heat), Econo: On, Temp: 16C, Fan: 0 (Auto), Swing(V): 7 (Auto Move), Swing(H): 12 (UNKNOWN), Clock: 10:30, On Timer: 00:00, Off Timer: 00:00, Timer: -</t>
  </si>
  <si>
    <t>Code      : 0x23CB260100204800C0B83F00000092243822 (144 Bits)Mesg Desc.: Power: On, Mode: 1 (Heat), Econo: On, Temp: 16C, Fan: 0 (Auto), Swing(V): 7 (Auto Move), Swing(H): 12 (UNKNOWN), Clock: 10:30, On Timer: 00:00, Off Timer: 00:00, Timer: -</t>
  </si>
  <si>
    <t>Code      : 0x23CB260100204800C07845000000920438C8 (144 Bits)_.iSave=1Mesg Desc.: Power: On, Mode: 1 (Heat), Econo: On, Temp: 16C, Fan: 0 (Auto), Swing(V): 7 (Auto Move), Swing(H): 12 (UNKNOWN), Clock: 11:30, On Timer: 00:00, Off Timer: 00:00, Timer: -</t>
  </si>
  <si>
    <t>Code      : 0x23CB260100204800C0B84500000092243828 (144 Bits)_.iSave=1Mesg Desc.: Power: On, Mode: 1 (Heat), Econo: On, Temp: 16C, Fan: 0 (Auto), Swing(V): 7 (Auto Move), Swing(H): 12 (UNKNOWN), Clock: 11:30, On Timer: 00:00, Off Timer: 00:00, Timer: -</t>
  </si>
  <si>
    <t>ACTION ON REMOTE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</si>
</sst>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164" fontId="0" fillId="0" borderId="0" xfId="0" applyNumberFormat="1"/>
    <xf numFmtId="0" fontId="3" fillId="0" borderId="0" xfId="0" applyFont="1"/>
    <xf numFmtId="0" fontId="3" fillId="0" borderId="0" xfId="0" quotePrefix="1" applyFont="1"/>
    <xf numFmtId="20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2" fillId="4" borderId="0" xfId="0" applyFont="1" applyFill="1"/>
    <xf numFmtId="0" fontId="3" fillId="4" borderId="0" xfId="0" applyFont="1" applyFill="1"/>
    <xf numFmtId="0" fontId="2" fillId="5" borderId="0" xfId="0" applyFont="1" applyFill="1"/>
    <xf numFmtId="0" fontId="3" fillId="5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0" borderId="0" xfId="0" quotePrefix="1"/>
    <xf numFmtId="0" fontId="2" fillId="6" borderId="0" xfId="0" applyFont="1" applyFill="1"/>
    <xf numFmtId="0" fontId="3" fillId="6" borderId="0" xfId="0" applyFont="1" applyFill="1"/>
  </cellXfs>
  <cellStyles count="1">
    <cellStyle name="Normal" xfId="0" builtinId="0"/>
  </cellStyles>
  <dxfs count="47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33388-9F0E-464F-904A-595FF9EEC339}">
  <sheetPr codeName="Sheet1"/>
  <dimension ref="A1:AB132"/>
  <sheetViews>
    <sheetView tabSelected="1" zoomScale="90" zoomScaleNormal="90" workbookViewId="0">
      <pane ySplit="7" topLeftCell="A8" activePane="bottomLeft" state="frozen"/>
      <selection pane="bottomLeft" activeCell="AA7" sqref="AA7"/>
    </sheetView>
  </sheetViews>
  <sheetFormatPr defaultRowHeight="15" x14ac:dyDescent="0.25"/>
  <cols>
    <col min="8" max="13" width="11.5703125" style="3" bestFit="1" customWidth="1"/>
    <col min="14" max="16" width="11.5703125" style="2" bestFit="1" customWidth="1"/>
    <col min="17" max="22" width="11.5703125" style="1" bestFit="1" customWidth="1"/>
    <col min="23" max="25" width="11.5703125" bestFit="1" customWidth="1"/>
    <col min="26" max="26" width="16" customWidth="1"/>
    <col min="27" max="27" width="15.28515625" bestFit="1" customWidth="1"/>
  </cols>
  <sheetData>
    <row r="1" spans="1:28" x14ac:dyDescent="0.25">
      <c r="A1" t="s">
        <v>0</v>
      </c>
      <c r="B1" t="s">
        <v>1</v>
      </c>
      <c r="D1" t="s">
        <v>3</v>
      </c>
      <c r="G1" t="s">
        <v>4</v>
      </c>
      <c r="H1" s="3">
        <v>0</v>
      </c>
      <c r="I1" s="3">
        <f>H1+1</f>
        <v>1</v>
      </c>
      <c r="J1" s="3">
        <f t="shared" ref="J1:Y1" si="0">I1+1</f>
        <v>2</v>
      </c>
      <c r="K1" s="3">
        <f t="shared" si="0"/>
        <v>3</v>
      </c>
      <c r="L1" s="3">
        <f t="shared" si="0"/>
        <v>4</v>
      </c>
      <c r="M1" s="3">
        <f t="shared" si="0"/>
        <v>5</v>
      </c>
      <c r="N1" s="3">
        <f t="shared" si="0"/>
        <v>6</v>
      </c>
      <c r="O1" s="3">
        <f t="shared" si="0"/>
        <v>7</v>
      </c>
      <c r="P1" s="3">
        <f t="shared" si="0"/>
        <v>8</v>
      </c>
      <c r="Q1" s="3">
        <f t="shared" si="0"/>
        <v>9</v>
      </c>
      <c r="R1" s="3">
        <f t="shared" si="0"/>
        <v>10</v>
      </c>
      <c r="S1" s="3">
        <f t="shared" si="0"/>
        <v>11</v>
      </c>
      <c r="T1" s="3">
        <f t="shared" si="0"/>
        <v>12</v>
      </c>
      <c r="U1" s="3">
        <f t="shared" si="0"/>
        <v>13</v>
      </c>
      <c r="V1" s="3">
        <f t="shared" si="0"/>
        <v>14</v>
      </c>
      <c r="W1" s="3">
        <f t="shared" si="0"/>
        <v>15</v>
      </c>
      <c r="X1" s="3">
        <f t="shared" si="0"/>
        <v>16</v>
      </c>
      <c r="Y1" s="3">
        <f t="shared" si="0"/>
        <v>17</v>
      </c>
      <c r="Z1" s="3"/>
    </row>
    <row r="2" spans="1:28" x14ac:dyDescent="0.25">
      <c r="A2">
        <v>8</v>
      </c>
      <c r="B2">
        <v>11</v>
      </c>
      <c r="C2">
        <f>16*16*16</f>
        <v>4096</v>
      </c>
      <c r="D2">
        <f>B2*C2</f>
        <v>45056</v>
      </c>
      <c r="G2" t="s">
        <v>5</v>
      </c>
      <c r="H2">
        <f>FIND("0x",AB9)+2</f>
        <v>15</v>
      </c>
      <c r="I2" s="3">
        <f>H2+2</f>
        <v>17</v>
      </c>
      <c r="J2" s="3">
        <f t="shared" ref="J2:Y2" si="1">I2+2</f>
        <v>19</v>
      </c>
      <c r="K2" s="3">
        <f t="shared" si="1"/>
        <v>21</v>
      </c>
      <c r="L2" s="3">
        <f t="shared" si="1"/>
        <v>23</v>
      </c>
      <c r="M2" s="3">
        <f t="shared" si="1"/>
        <v>25</v>
      </c>
      <c r="N2" s="3">
        <f t="shared" si="1"/>
        <v>27</v>
      </c>
      <c r="O2" s="3">
        <f t="shared" si="1"/>
        <v>29</v>
      </c>
      <c r="P2" s="3">
        <f t="shared" si="1"/>
        <v>31</v>
      </c>
      <c r="Q2" s="3">
        <f t="shared" si="1"/>
        <v>33</v>
      </c>
      <c r="R2" s="3">
        <f t="shared" si="1"/>
        <v>35</v>
      </c>
      <c r="S2" s="3">
        <f t="shared" si="1"/>
        <v>37</v>
      </c>
      <c r="T2" s="3">
        <f t="shared" si="1"/>
        <v>39</v>
      </c>
      <c r="U2" s="3">
        <f t="shared" si="1"/>
        <v>41</v>
      </c>
      <c r="V2" s="3">
        <f t="shared" si="1"/>
        <v>43</v>
      </c>
      <c r="W2" s="3">
        <f t="shared" si="1"/>
        <v>45</v>
      </c>
      <c r="X2" s="3">
        <f t="shared" si="1"/>
        <v>47</v>
      </c>
      <c r="Y2" s="3">
        <f t="shared" si="1"/>
        <v>49</v>
      </c>
      <c r="Z2" s="3"/>
    </row>
    <row r="3" spans="1:28" x14ac:dyDescent="0.25">
      <c r="A3">
        <f>A2+1</f>
        <v>9</v>
      </c>
      <c r="B3">
        <v>0</v>
      </c>
      <c r="C3">
        <f>16*16</f>
        <v>256</v>
      </c>
      <c r="D3">
        <f>B3*C3</f>
        <v>0</v>
      </c>
      <c r="H3"/>
      <c r="I3"/>
      <c r="J3"/>
      <c r="K3"/>
      <c r="L3"/>
      <c r="M3" t="s">
        <v>26</v>
      </c>
      <c r="N3" t="s">
        <v>18</v>
      </c>
      <c r="O3" t="s">
        <v>11</v>
      </c>
      <c r="P3"/>
      <c r="Q3" t="s">
        <v>64</v>
      </c>
      <c r="R3"/>
      <c r="S3"/>
      <c r="T3"/>
      <c r="U3" t="s">
        <v>92</v>
      </c>
      <c r="V3" t="s">
        <v>87</v>
      </c>
      <c r="W3" t="s">
        <v>36</v>
      </c>
      <c r="X3" t="s">
        <v>79</v>
      </c>
      <c r="Y3" t="s">
        <v>36</v>
      </c>
    </row>
    <row r="4" spans="1:28" x14ac:dyDescent="0.25">
      <c r="A4">
        <f>A3+1</f>
        <v>10</v>
      </c>
      <c r="B4">
        <v>128</v>
      </c>
      <c r="C4">
        <v>16</v>
      </c>
      <c r="D4">
        <f>B4*C4</f>
        <v>2048</v>
      </c>
      <c r="H4" s="6"/>
      <c r="I4" s="6"/>
      <c r="J4" s="6"/>
      <c r="K4" s="6"/>
      <c r="L4" s="6"/>
      <c r="M4" s="6" t="s">
        <v>27</v>
      </c>
      <c r="N4" s="6" t="s">
        <v>95</v>
      </c>
      <c r="O4" s="6" t="s">
        <v>96</v>
      </c>
      <c r="P4" s="6"/>
      <c r="Q4" s="6" t="s">
        <v>65</v>
      </c>
      <c r="R4" s="6"/>
      <c r="S4" s="6"/>
      <c r="T4" s="6"/>
      <c r="U4" s="6" t="s">
        <v>93</v>
      </c>
      <c r="V4" s="6" t="s">
        <v>27</v>
      </c>
      <c r="W4" s="6" t="s">
        <v>37</v>
      </c>
      <c r="X4" s="6" t="s">
        <v>80</v>
      </c>
      <c r="Y4" s="6" t="s">
        <v>37</v>
      </c>
    </row>
    <row r="5" spans="1:28" x14ac:dyDescent="0.25">
      <c r="A5">
        <f>A4+1</f>
        <v>11</v>
      </c>
      <c r="B5">
        <v>8</v>
      </c>
      <c r="C5">
        <v>1</v>
      </c>
      <c r="D5">
        <f>B5*C5</f>
        <v>8</v>
      </c>
      <c r="H5" s="6"/>
      <c r="I5" s="6"/>
      <c r="J5" s="6"/>
      <c r="K5" s="6"/>
      <c r="L5" s="6"/>
      <c r="M5" t="s">
        <v>28</v>
      </c>
      <c r="N5"/>
      <c r="O5" t="s">
        <v>12</v>
      </c>
      <c r="P5"/>
      <c r="Q5"/>
      <c r="R5"/>
      <c r="S5"/>
      <c r="T5"/>
      <c r="U5" t="s">
        <v>94</v>
      </c>
      <c r="V5" t="s">
        <v>81</v>
      </c>
      <c r="W5" t="s">
        <v>71</v>
      </c>
      <c r="X5" t="s">
        <v>81</v>
      </c>
      <c r="Y5" t="s">
        <v>38</v>
      </c>
    </row>
    <row r="6" spans="1:28" x14ac:dyDescent="0.25">
      <c r="D6">
        <f>SUM(D2:D5)</f>
        <v>47112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Y6" t="s">
        <v>73</v>
      </c>
    </row>
    <row r="7" spans="1:28" x14ac:dyDescent="0.25">
      <c r="H7"/>
      <c r="I7"/>
      <c r="J7"/>
      <c r="K7"/>
      <c r="L7"/>
      <c r="Y7" s="6" t="s">
        <v>72</v>
      </c>
      <c r="AA7" t="s">
        <v>107</v>
      </c>
    </row>
    <row r="8" spans="1:28" x14ac:dyDescent="0.25"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8" x14ac:dyDescent="0.25">
      <c r="B9" t="s">
        <v>2</v>
      </c>
      <c r="C9" t="s">
        <v>51</v>
      </c>
      <c r="H9" s="14" t="str">
        <f>MID($AB9,H$2,2)</f>
        <v>23</v>
      </c>
      <c r="I9" s="14" t="str">
        <f>MID($AB9,I$2,2)</f>
        <v>CB</v>
      </c>
      <c r="J9" s="14" t="str">
        <f>MID($AB9,J$2,2)</f>
        <v>26</v>
      </c>
      <c r="K9" s="14" t="str">
        <f>MID($AB9,K$2,2)</f>
        <v>01</v>
      </c>
      <c r="L9" s="14" t="str">
        <f>MID($AB9,L$2,2)</f>
        <v>00</v>
      </c>
      <c r="M9" s="14" t="str">
        <f>MID($AB9,M$2,2)</f>
        <v>20</v>
      </c>
      <c r="N9" s="14" t="str">
        <f>MID($AB9,N$2,2)</f>
        <v>38</v>
      </c>
      <c r="O9" s="12" t="e">
        <f>_xlfn.BITAND(O$4,O10)</f>
        <v>#VALUE!</v>
      </c>
      <c r="P9" s="14" t="str">
        <f>MID($AB9,P$2,2)</f>
        <v>C0</v>
      </c>
      <c r="Q9" s="14" t="str">
        <f>MID($AB9,Q$2,2)</f>
        <v>60</v>
      </c>
      <c r="R9" s="14" t="str">
        <f>MID($AB9,R$2,2)</f>
        <v>76</v>
      </c>
      <c r="S9" s="14" t="str">
        <f>MID($AB9,S$2,2)</f>
        <v>00</v>
      </c>
      <c r="T9" s="14" t="str">
        <f>MID($AB9,T$2,2)</f>
        <v>00</v>
      </c>
      <c r="U9" s="14" t="str">
        <f>MID($AB9,U$2,2)</f>
        <v>00</v>
      </c>
      <c r="V9" s="14" t="str">
        <f>MID($AB9,V$2,2)</f>
        <v>92</v>
      </c>
      <c r="W9" s="14" t="str">
        <f>MID($AB9,W$2,2)</f>
        <v>00</v>
      </c>
      <c r="X9" s="14" t="str">
        <f>MID($AB9,X$2,2)</f>
        <v>00</v>
      </c>
      <c r="Y9" s="14" t="str">
        <f>MID($AB9,Y$2,2)</f>
        <v>9D</v>
      </c>
      <c r="Z9" s="3"/>
      <c r="AA9" t="s">
        <v>39</v>
      </c>
      <c r="AB9" t="s">
        <v>6</v>
      </c>
    </row>
    <row r="10" spans="1:28" x14ac:dyDescent="0.25">
      <c r="H10" s="15" t="str">
        <f>HEX2BIN(MID($AB9,H$2,2),8)</f>
        <v>00100011</v>
      </c>
      <c r="I10" s="15" t="str">
        <f>HEX2BIN(MID($AB9,I$2,2),8)</f>
        <v>11001011</v>
      </c>
      <c r="J10" s="15" t="str">
        <f>HEX2BIN(MID($AB9,J$2,2),8)</f>
        <v>00100110</v>
      </c>
      <c r="K10" s="15" t="str">
        <f>HEX2BIN(MID($AB9,K$2,2),8)</f>
        <v>00000001</v>
      </c>
      <c r="L10" s="15" t="str">
        <f>HEX2BIN(MID($AB9,L$2,2),8)</f>
        <v>00000000</v>
      </c>
      <c r="M10" s="15" t="str">
        <f>HEX2BIN(MID($AB9,M$2,2),8)</f>
        <v>00100000</v>
      </c>
      <c r="N10" s="15" t="str">
        <f>HEX2BIN(MID($AB9,N$2,2),8)</f>
        <v>00111000</v>
      </c>
      <c r="O10" s="15" t="str">
        <f>HEX2BIN(MID($AB9,O$2,2),8)</f>
        <v>00001000</v>
      </c>
      <c r="P10" s="15" t="str">
        <f>HEX2BIN(MID($AB9,P$2,2),8)</f>
        <v>11000000</v>
      </c>
      <c r="Q10" s="15" t="str">
        <f>HEX2BIN(MID($AB9,Q$2,2),8)</f>
        <v>01100000</v>
      </c>
      <c r="R10" s="15" t="str">
        <f>HEX2BIN(MID($AB9,R$2,2),8)</f>
        <v>01110110</v>
      </c>
      <c r="S10" s="15" t="str">
        <f>HEX2BIN(MID($AB9,S$2,2),8)</f>
        <v>00000000</v>
      </c>
      <c r="T10" s="15" t="str">
        <f>HEX2BIN(MID($AB9,T$2,2),8)</f>
        <v>00000000</v>
      </c>
      <c r="U10" s="15" t="str">
        <f>HEX2BIN(MID($AB9,U$2,2),8)</f>
        <v>00000000</v>
      </c>
      <c r="V10" s="15" t="str">
        <f>HEX2BIN(MID($AB9,V$2,2),8)</f>
        <v>10010010</v>
      </c>
      <c r="W10" s="15" t="str">
        <f>HEX2BIN(MID($AB9,W$2,2),8)</f>
        <v>00000000</v>
      </c>
      <c r="X10" s="15" t="str">
        <f>HEX2BIN(MID($AB9,X$2,2),8)</f>
        <v>00000000</v>
      </c>
      <c r="Y10" s="15" t="str">
        <f>HEX2BIN(MID($AB9,Y$2,2),8)</f>
        <v>10011101</v>
      </c>
      <c r="Z10" s="4"/>
    </row>
    <row r="11" spans="1:28" x14ac:dyDescent="0.25">
      <c r="H11" s="14" t="str">
        <f>MID($AB11,H$2,2)</f>
        <v>23</v>
      </c>
      <c r="I11" s="14" t="str">
        <f>MID($AB11,I$2,2)</f>
        <v>CB</v>
      </c>
      <c r="J11" s="14" t="str">
        <f>MID($AB11,J$2,2)</f>
        <v>26</v>
      </c>
      <c r="K11" s="14" t="str">
        <f>MID($AB11,K$2,2)</f>
        <v>01</v>
      </c>
      <c r="L11" s="14" t="str">
        <f>MID($AB11,L$2,2)</f>
        <v>00</v>
      </c>
      <c r="M11" s="14" t="str">
        <f>MID($AB11,M$2,2)</f>
        <v>20</v>
      </c>
      <c r="N11" s="14" t="str">
        <f>MID($AB11,N$2,2)</f>
        <v>60</v>
      </c>
      <c r="O11" s="14" t="str">
        <f>MID($AB11,O$2,2)</f>
        <v>08</v>
      </c>
      <c r="P11" s="14" t="str">
        <f>MID($AB11,P$2,2)</f>
        <v>C6</v>
      </c>
      <c r="Q11" s="14" t="str">
        <f>MID($AB11,Q$2,2)</f>
        <v>80</v>
      </c>
      <c r="R11" s="14" t="str">
        <f>MID($AB11,R$2,2)</f>
        <v>76</v>
      </c>
      <c r="S11" s="14" t="str">
        <f>MID($AB11,S$2,2)</f>
        <v>00</v>
      </c>
      <c r="T11" s="14" t="str">
        <f>MID($AB11,T$2,2)</f>
        <v>00</v>
      </c>
      <c r="U11" s="14" t="str">
        <f>MID($AB11,U$2,2)</f>
        <v>00</v>
      </c>
      <c r="V11" s="14" t="str">
        <f>MID($AB11,V$2,2)</f>
        <v>92</v>
      </c>
      <c r="W11" s="14" t="str">
        <f>MID($AB11,W$2,2)</f>
        <v>04</v>
      </c>
      <c r="X11" s="14" t="str">
        <f>MID($AB11,X$2,2)</f>
        <v>00</v>
      </c>
      <c r="Y11" s="14" t="str">
        <f>MID($AB11,Y$2,2)</f>
        <v>EF</v>
      </c>
      <c r="Z11" s="3"/>
      <c r="AA11" t="s">
        <v>40</v>
      </c>
      <c r="AB11" t="s">
        <v>7</v>
      </c>
    </row>
    <row r="12" spans="1:28" x14ac:dyDescent="0.25">
      <c r="H12" s="15" t="str">
        <f>HEX2BIN(MID($AB11,H$2,2),8)</f>
        <v>00100011</v>
      </c>
      <c r="I12" s="15" t="str">
        <f>HEX2BIN(MID($AB11,I$2,2),8)</f>
        <v>11001011</v>
      </c>
      <c r="J12" s="15" t="str">
        <f>HEX2BIN(MID($AB11,J$2,2),8)</f>
        <v>00100110</v>
      </c>
      <c r="K12" s="15" t="str">
        <f>HEX2BIN(MID($AB11,K$2,2),8)</f>
        <v>00000001</v>
      </c>
      <c r="L12" s="15" t="str">
        <f>HEX2BIN(MID($AB11,L$2,2),8)</f>
        <v>00000000</v>
      </c>
      <c r="M12" s="15" t="str">
        <f>HEX2BIN(MID($AB11,M$2,2),8)</f>
        <v>00100000</v>
      </c>
      <c r="N12" s="15" t="str">
        <f>HEX2BIN(MID($AB11,N$2,2),8)</f>
        <v>01100000</v>
      </c>
      <c r="O12" s="15" t="str">
        <f>HEX2BIN(MID($AB11,O$2,2),8)</f>
        <v>00001000</v>
      </c>
      <c r="P12" s="15" t="str">
        <f>HEX2BIN(MID($AB11,P$2,2),8)</f>
        <v>11000110</v>
      </c>
      <c r="Q12" s="15" t="str">
        <f>HEX2BIN(MID($AB11,Q$2,2),8)</f>
        <v>10000000</v>
      </c>
      <c r="R12" s="15" t="str">
        <f>HEX2BIN(MID($AB11,R$2,2),8)</f>
        <v>01110110</v>
      </c>
      <c r="S12" s="15" t="str">
        <f>HEX2BIN(MID($AB11,S$2,2),8)</f>
        <v>00000000</v>
      </c>
      <c r="T12" s="15" t="str">
        <f>HEX2BIN(MID($AB11,T$2,2),8)</f>
        <v>00000000</v>
      </c>
      <c r="U12" s="15" t="str">
        <f>HEX2BIN(MID($AB11,U$2,2),8)</f>
        <v>00000000</v>
      </c>
      <c r="V12" s="15" t="str">
        <f>HEX2BIN(MID($AB11,V$2,2),8)</f>
        <v>10010010</v>
      </c>
      <c r="W12" s="15" t="str">
        <f>HEX2BIN(MID($AB11,W$2,2),8)</f>
        <v>00000100</v>
      </c>
      <c r="X12" s="15" t="str">
        <f>HEX2BIN(MID($AB11,X$2,2),8)</f>
        <v>00000000</v>
      </c>
      <c r="Y12" s="15" t="str">
        <f>HEX2BIN(MID($AB11,Y$2,2),8)</f>
        <v>11101111</v>
      </c>
      <c r="Z12" s="4"/>
    </row>
    <row r="13" spans="1:28" x14ac:dyDescent="0.25">
      <c r="H13" s="14" t="str">
        <f>MID($AB13,H$2,2)</f>
        <v>23</v>
      </c>
      <c r="I13" s="14" t="str">
        <f>MID($AB13,I$2,2)</f>
        <v>CB</v>
      </c>
      <c r="J13" s="14" t="str">
        <f>MID($AB13,J$2,2)</f>
        <v>26</v>
      </c>
      <c r="K13" s="14" t="str">
        <f>MID($AB13,K$2,2)</f>
        <v>01</v>
      </c>
      <c r="L13" s="14" t="str">
        <f>MID($AB13,L$2,2)</f>
        <v>00</v>
      </c>
      <c r="M13" s="14" t="str">
        <f>MID($AB13,M$2,2)</f>
        <v>20</v>
      </c>
      <c r="N13" s="14" t="str">
        <f>MID($AB13,N$2,2)</f>
        <v>58</v>
      </c>
      <c r="O13" s="14" t="str">
        <f>MID($AB13,O$2,2)</f>
        <v>08</v>
      </c>
      <c r="P13" s="14" t="str">
        <f>MID($AB13,P$2,2)</f>
        <v>C6</v>
      </c>
      <c r="Q13" s="14" t="str">
        <f>MID($AB13,Q$2,2)</f>
        <v>60</v>
      </c>
      <c r="R13" s="14" t="str">
        <f>MID($AB13,R$2,2)</f>
        <v>76</v>
      </c>
      <c r="S13" s="14" t="str">
        <f>MID($AB13,S$2,2)</f>
        <v>00</v>
      </c>
      <c r="T13" s="14" t="str">
        <f>MID($AB13,T$2,2)</f>
        <v>00</v>
      </c>
      <c r="U13" s="14" t="str">
        <f>MID($AB13,U$2,2)</f>
        <v>00</v>
      </c>
      <c r="V13" s="14" t="str">
        <f>MID($AB13,V$2,2)</f>
        <v>92</v>
      </c>
      <c r="W13" s="14" t="str">
        <f>MID($AB13,W$2,2)</f>
        <v>04</v>
      </c>
      <c r="X13" s="14" t="str">
        <f>MID($AB13,X$2,2)</f>
        <v>00</v>
      </c>
      <c r="Y13" s="14" t="str">
        <f>MID($AB13,Y$2,2)</f>
        <v>C7</v>
      </c>
      <c r="Z13" s="3"/>
      <c r="AA13" t="s">
        <v>41</v>
      </c>
      <c r="AB13" t="s">
        <v>8</v>
      </c>
    </row>
    <row r="14" spans="1:28" x14ac:dyDescent="0.25">
      <c r="H14" s="15" t="str">
        <f>HEX2BIN(MID($AB13,H$2,2),8)</f>
        <v>00100011</v>
      </c>
      <c r="I14" s="15" t="str">
        <f>HEX2BIN(MID($AB13,I$2,2),8)</f>
        <v>11001011</v>
      </c>
      <c r="J14" s="15" t="str">
        <f>HEX2BIN(MID($AB13,J$2,2),8)</f>
        <v>00100110</v>
      </c>
      <c r="K14" s="15" t="str">
        <f>HEX2BIN(MID($AB13,K$2,2),8)</f>
        <v>00000001</v>
      </c>
      <c r="L14" s="15" t="str">
        <f>HEX2BIN(MID($AB13,L$2,2),8)</f>
        <v>00000000</v>
      </c>
      <c r="M14" s="15" t="str">
        <f>HEX2BIN(MID($AB13,M$2,2),8)</f>
        <v>00100000</v>
      </c>
      <c r="N14" s="15" t="str">
        <f>HEX2BIN(MID($AB13,N$2,2),8)</f>
        <v>01011000</v>
      </c>
      <c r="O14" s="15" t="str">
        <f>HEX2BIN(MID($AB13,O$2,2),8)</f>
        <v>00001000</v>
      </c>
      <c r="P14" s="15" t="str">
        <f>HEX2BIN(MID($AB13,P$2,2),8)</f>
        <v>11000110</v>
      </c>
      <c r="Q14" s="15" t="str">
        <f>HEX2BIN(MID($AB13,Q$2,2),8)</f>
        <v>01100000</v>
      </c>
      <c r="R14" s="15" t="str">
        <f>HEX2BIN(MID($AB13,R$2,2),8)</f>
        <v>01110110</v>
      </c>
      <c r="S14" s="15" t="str">
        <f>HEX2BIN(MID($AB13,S$2,2),8)</f>
        <v>00000000</v>
      </c>
      <c r="T14" s="15" t="str">
        <f>HEX2BIN(MID($AB13,T$2,2),8)</f>
        <v>00000000</v>
      </c>
      <c r="U14" s="15" t="str">
        <f>HEX2BIN(MID($AB13,U$2,2),8)</f>
        <v>00000000</v>
      </c>
      <c r="V14" s="15" t="str">
        <f>HEX2BIN(MID($AB13,V$2,2),8)</f>
        <v>10010010</v>
      </c>
      <c r="W14" s="15" t="str">
        <f>HEX2BIN(MID($AB13,W$2,2),8)</f>
        <v>00000100</v>
      </c>
      <c r="X14" s="15" t="str">
        <f>HEX2BIN(MID($AB13,X$2,2),8)</f>
        <v>00000000</v>
      </c>
      <c r="Y14" s="15" t="str">
        <f>HEX2BIN(MID($AB13,Y$2,2),8)</f>
        <v>11000111</v>
      </c>
      <c r="Z14" s="4"/>
    </row>
    <row r="15" spans="1:28" x14ac:dyDescent="0.25">
      <c r="H15" s="14" t="str">
        <f>MID($AB15,H$2,2)</f>
        <v>23</v>
      </c>
      <c r="I15" s="14" t="str">
        <f>MID($AB15,I$2,2)</f>
        <v>CB</v>
      </c>
      <c r="J15" s="14" t="str">
        <f>MID($AB15,J$2,2)</f>
        <v>26</v>
      </c>
      <c r="K15" s="14" t="str">
        <f>MID($AB15,K$2,2)</f>
        <v>01</v>
      </c>
      <c r="L15" s="14" t="str">
        <f>MID($AB15,L$2,2)</f>
        <v>00</v>
      </c>
      <c r="M15" s="14" t="str">
        <f>MID($AB15,M$2,2)</f>
        <v>20</v>
      </c>
      <c r="N15" s="14" t="str">
        <f>MID($AB15,N$2,2)</f>
        <v>50</v>
      </c>
      <c r="O15" s="14" t="str">
        <f>MID($AB15,O$2,2)</f>
        <v>08</v>
      </c>
      <c r="P15" s="14" t="str">
        <f>MID($AB15,P$2,2)</f>
        <v>C2</v>
      </c>
      <c r="Q15" s="14" t="str">
        <f>MID($AB15,Q$2,2)</f>
        <v>60</v>
      </c>
      <c r="R15" s="14" t="str">
        <f>MID($AB15,R$2,2)</f>
        <v>76</v>
      </c>
      <c r="S15" s="14" t="str">
        <f>MID($AB15,S$2,2)</f>
        <v>00</v>
      </c>
      <c r="T15" s="14" t="str">
        <f>MID($AB15,T$2,2)</f>
        <v>00</v>
      </c>
      <c r="U15" s="14" t="str">
        <f>MID($AB15,U$2,2)</f>
        <v>00</v>
      </c>
      <c r="V15" s="14" t="str">
        <f>MID($AB15,V$2,2)</f>
        <v>92</v>
      </c>
      <c r="W15" s="14" t="str">
        <f>MID($AB15,W$2,2)</f>
        <v>04</v>
      </c>
      <c r="X15" s="14" t="str">
        <f>MID($AB15,X$2,2)</f>
        <v>00</v>
      </c>
      <c r="Y15" s="14" t="str">
        <f>MID($AB15,Y$2,2)</f>
        <v>BB</v>
      </c>
      <c r="Z15" s="3"/>
      <c r="AA15" t="s">
        <v>42</v>
      </c>
      <c r="AB15" t="s">
        <v>9</v>
      </c>
    </row>
    <row r="16" spans="1:28" x14ac:dyDescent="0.25">
      <c r="H16" s="15" t="str">
        <f>HEX2BIN(MID($AB15,H$2,2),8)</f>
        <v>00100011</v>
      </c>
      <c r="I16" s="15" t="str">
        <f>HEX2BIN(MID($AB15,I$2,2),8)</f>
        <v>11001011</v>
      </c>
      <c r="J16" s="15" t="str">
        <f>HEX2BIN(MID($AB15,J$2,2),8)</f>
        <v>00100110</v>
      </c>
      <c r="K16" s="15" t="str">
        <f>HEX2BIN(MID($AB15,K$2,2),8)</f>
        <v>00000001</v>
      </c>
      <c r="L16" s="15" t="str">
        <f>HEX2BIN(MID($AB15,L$2,2),8)</f>
        <v>00000000</v>
      </c>
      <c r="M16" s="15" t="str">
        <f>HEX2BIN(MID($AB15,M$2,2),8)</f>
        <v>00100000</v>
      </c>
      <c r="N16" s="15" t="str">
        <f>HEX2BIN(MID($AB15,N$2,2),8)</f>
        <v>01010000</v>
      </c>
      <c r="O16" s="15" t="str">
        <f>HEX2BIN(MID($AB15,O$2,2),8)</f>
        <v>00001000</v>
      </c>
      <c r="P16" s="15" t="str">
        <f>HEX2BIN(MID($AB15,P$2,2),8)</f>
        <v>11000010</v>
      </c>
      <c r="Q16" s="15" t="str">
        <f>HEX2BIN(MID($AB15,Q$2,2),8)</f>
        <v>01100000</v>
      </c>
      <c r="R16" s="15" t="str">
        <f>HEX2BIN(MID($AB15,R$2,2),8)</f>
        <v>01110110</v>
      </c>
      <c r="S16" s="15" t="str">
        <f>HEX2BIN(MID($AB15,S$2,2),8)</f>
        <v>00000000</v>
      </c>
      <c r="T16" s="15" t="str">
        <f>HEX2BIN(MID($AB15,T$2,2),8)</f>
        <v>00000000</v>
      </c>
      <c r="U16" s="15" t="str">
        <f>HEX2BIN(MID($AB15,U$2,2),8)</f>
        <v>00000000</v>
      </c>
      <c r="V16" s="15" t="str">
        <f>HEX2BIN(MID($AB15,V$2,2),8)</f>
        <v>10010010</v>
      </c>
      <c r="W16" s="15" t="str">
        <f>HEX2BIN(MID($AB15,W$2,2),8)</f>
        <v>00000100</v>
      </c>
      <c r="X16" s="15" t="str">
        <f>HEX2BIN(MID($AB15,X$2,2),8)</f>
        <v>00000000</v>
      </c>
      <c r="Y16" s="15" t="str">
        <f>HEX2BIN(MID($AB15,Y$2,2),8)</f>
        <v>10111011</v>
      </c>
      <c r="Z16" s="4"/>
    </row>
    <row r="17" spans="8:28" x14ac:dyDescent="0.25">
      <c r="H17" s="14" t="str">
        <f>MID($AB17,H$2,2)</f>
        <v>23</v>
      </c>
      <c r="I17" s="14" t="str">
        <f>MID($AB17,I$2,2)</f>
        <v>CB</v>
      </c>
      <c r="J17" s="14" t="str">
        <f>MID($AB17,J$2,2)</f>
        <v>26</v>
      </c>
      <c r="K17" s="14" t="str">
        <f>MID($AB17,K$2,2)</f>
        <v>01</v>
      </c>
      <c r="L17" s="14" t="str">
        <f>MID($AB17,L$2,2)</f>
        <v>00</v>
      </c>
      <c r="M17" s="14" t="str">
        <f>MID($AB17,M$2,2)</f>
        <v>20</v>
      </c>
      <c r="N17" s="14" t="str">
        <f>MID($AB17,N$2,2)</f>
        <v>48</v>
      </c>
      <c r="O17" s="14" t="str">
        <f>MID($AB17,O$2,2)</f>
        <v>08</v>
      </c>
      <c r="P17" s="14" t="str">
        <f>MID($AB17,P$2,2)</f>
        <v>C0</v>
      </c>
      <c r="Q17" s="14" t="str">
        <f>MID($AB17,Q$2,2)</f>
        <v>60</v>
      </c>
      <c r="R17" s="14" t="str">
        <f>MID($AB17,R$2,2)</f>
        <v>76</v>
      </c>
      <c r="S17" s="14" t="str">
        <f>MID($AB17,S$2,2)</f>
        <v>00</v>
      </c>
      <c r="T17" s="14" t="str">
        <f>MID($AB17,T$2,2)</f>
        <v>00</v>
      </c>
      <c r="U17" s="14" t="str">
        <f>MID($AB17,U$2,2)</f>
        <v>00</v>
      </c>
      <c r="V17" s="14" t="str">
        <f>MID($AB17,V$2,2)</f>
        <v>92</v>
      </c>
      <c r="W17" s="14" t="str">
        <f>MID($AB17,W$2,2)</f>
        <v>04</v>
      </c>
      <c r="X17" s="14" t="str">
        <f>MID($AB17,X$2,2)</f>
        <v>00</v>
      </c>
      <c r="Y17" s="14" t="str">
        <f>MID($AB17,Y$2,2)</f>
        <v>B1</v>
      </c>
      <c r="Z17" s="3"/>
      <c r="AA17" t="s">
        <v>43</v>
      </c>
      <c r="AB17" t="s">
        <v>10</v>
      </c>
    </row>
    <row r="18" spans="8:28" x14ac:dyDescent="0.25">
      <c r="H18" s="15" t="str">
        <f>HEX2BIN(MID($AB17,H$2,2),8)</f>
        <v>00100011</v>
      </c>
      <c r="I18" s="15" t="str">
        <f>HEX2BIN(MID($AB17,I$2,2),8)</f>
        <v>11001011</v>
      </c>
      <c r="J18" s="15" t="str">
        <f>HEX2BIN(MID($AB17,J$2,2),8)</f>
        <v>00100110</v>
      </c>
      <c r="K18" s="15" t="str">
        <f>HEX2BIN(MID($AB17,K$2,2),8)</f>
        <v>00000001</v>
      </c>
      <c r="L18" s="15" t="str">
        <f>HEX2BIN(MID($AB17,L$2,2),8)</f>
        <v>00000000</v>
      </c>
      <c r="M18" s="15" t="str">
        <f>HEX2BIN(MID($AB17,M$2,2),8)</f>
        <v>00100000</v>
      </c>
      <c r="N18" s="15" t="str">
        <f>HEX2BIN(MID($AB17,N$2,2),8)</f>
        <v>01001000</v>
      </c>
      <c r="O18" s="15" t="str">
        <f>HEX2BIN(MID($AB17,O$2,2),8)</f>
        <v>00001000</v>
      </c>
      <c r="P18" s="15" t="str">
        <f>HEX2BIN(MID($AB17,P$2,2),8)</f>
        <v>11000000</v>
      </c>
      <c r="Q18" s="15" t="str">
        <f>HEX2BIN(MID($AB17,Q$2,2),8)</f>
        <v>01100000</v>
      </c>
      <c r="R18" s="15" t="str">
        <f>HEX2BIN(MID($AB17,R$2,2),8)</f>
        <v>01110110</v>
      </c>
      <c r="S18" s="15" t="str">
        <f>HEX2BIN(MID($AB17,S$2,2),8)</f>
        <v>00000000</v>
      </c>
      <c r="T18" s="15" t="str">
        <f>HEX2BIN(MID($AB17,T$2,2),8)</f>
        <v>00000000</v>
      </c>
      <c r="U18" s="15" t="str">
        <f>HEX2BIN(MID($AB17,U$2,2),8)</f>
        <v>00000000</v>
      </c>
      <c r="V18" s="15" t="str">
        <f>HEX2BIN(MID($AB17,V$2,2),8)</f>
        <v>10010010</v>
      </c>
      <c r="W18" s="15" t="str">
        <f>HEX2BIN(MID($AB17,W$2,2),8)</f>
        <v>00000100</v>
      </c>
      <c r="X18" s="15" t="str">
        <f>HEX2BIN(MID($AB17,X$2,2),8)</f>
        <v>00000000</v>
      </c>
      <c r="Y18" s="15" t="str">
        <f>HEX2BIN(MID($AB17,Y$2,2),8)</f>
        <v>10110001</v>
      </c>
      <c r="Z18" s="4"/>
    </row>
    <row r="19" spans="8:28" x14ac:dyDescent="0.25">
      <c r="H19" s="3" t="str">
        <f>MID($AB19,H$2,2)</f>
        <v>23</v>
      </c>
      <c r="I19" s="3" t="str">
        <f>MID($AB19,I$2,2)</f>
        <v>CB</v>
      </c>
      <c r="J19" s="3" t="str">
        <f>MID($AB19,J$2,2)</f>
        <v>26</v>
      </c>
      <c r="K19" s="3" t="str">
        <f>MID($AB19,K$2,2)</f>
        <v>01</v>
      </c>
      <c r="L19" s="3" t="str">
        <f>MID($AB19,L$2,2)</f>
        <v>00</v>
      </c>
      <c r="M19" s="3" t="str">
        <f>MID($AB19,M$2,2)</f>
        <v>20</v>
      </c>
      <c r="N19" s="3" t="str">
        <f>MID($AB19,N$2,2)</f>
        <v>48</v>
      </c>
      <c r="O19" s="3" t="str">
        <f>MID($AB19,O$2,2)</f>
        <v>00</v>
      </c>
      <c r="P19" s="3" t="str">
        <f>MID($AB19,P$2,2)</f>
        <v>00</v>
      </c>
      <c r="Q19" s="3" t="str">
        <f>MID($AB19,Q$2,2)</f>
        <v>45</v>
      </c>
      <c r="R19" s="3" t="str">
        <f>MID($AB19,R$2,2)</f>
        <v>7D</v>
      </c>
      <c r="S19" s="3" t="str">
        <f>MID($AB19,S$2,2)</f>
        <v>00</v>
      </c>
      <c r="T19" s="3" t="str">
        <f>MID($AB19,T$2,2)</f>
        <v>00</v>
      </c>
      <c r="U19" s="3" t="str">
        <f>MID($AB19,U$2,2)</f>
        <v>00</v>
      </c>
      <c r="V19" s="3" t="str">
        <f>MID($AB19,V$2,2)</f>
        <v>11</v>
      </c>
      <c r="W19" s="3" t="str">
        <f>MID($AB19,W$2,2)</f>
        <v>26</v>
      </c>
      <c r="X19" s="3" t="str">
        <f>MID($AB19,X$2,2)</f>
        <v>00</v>
      </c>
      <c r="Y19" s="3" t="str">
        <f>MID($AB19,Y$2,2)</f>
        <v>76</v>
      </c>
      <c r="Z19" s="3"/>
      <c r="AA19" t="s">
        <v>52</v>
      </c>
      <c r="AB19" t="s">
        <v>58</v>
      </c>
    </row>
    <row r="20" spans="8:28" x14ac:dyDescent="0.25">
      <c r="H20" s="5" t="str">
        <f>HEX2BIN(MID($AB19,H$2,2),8)</f>
        <v>00100011</v>
      </c>
      <c r="I20" s="5" t="str">
        <f>HEX2BIN(MID($AB19,I$2,2),8)</f>
        <v>11001011</v>
      </c>
      <c r="J20" s="5" t="str">
        <f>HEX2BIN(MID($AB19,J$2,2),8)</f>
        <v>00100110</v>
      </c>
      <c r="K20" s="5" t="str">
        <f>HEX2BIN(MID($AB19,K$2,2),8)</f>
        <v>00000001</v>
      </c>
      <c r="L20" s="5" t="str">
        <f>HEX2BIN(MID($AB19,L$2,2),8)</f>
        <v>00000000</v>
      </c>
      <c r="M20" s="5" t="str">
        <f>HEX2BIN(MID($AB19,M$2,2),8)</f>
        <v>00100000</v>
      </c>
      <c r="N20" s="5" t="str">
        <f>HEX2BIN(MID($AB19,N$2,2),8)</f>
        <v>01001000</v>
      </c>
      <c r="O20" s="5" t="str">
        <f>HEX2BIN(MID($AB19,O$2,2),8)</f>
        <v>00000000</v>
      </c>
      <c r="P20" s="5" t="str">
        <f>HEX2BIN(MID($AB19,P$2,2),8)</f>
        <v>00000000</v>
      </c>
      <c r="Q20" s="5" t="str">
        <f>HEX2BIN(MID($AB19,Q$2,2),8)</f>
        <v>01000101</v>
      </c>
      <c r="R20" s="5" t="str">
        <f>HEX2BIN(MID($AB19,R$2,2),8)</f>
        <v>01111101</v>
      </c>
      <c r="S20" s="5" t="str">
        <f>HEX2BIN(MID($AB19,S$2,2),8)</f>
        <v>00000000</v>
      </c>
      <c r="T20" s="5" t="str">
        <f>HEX2BIN(MID($AB19,T$2,2),8)</f>
        <v>00000000</v>
      </c>
      <c r="U20" s="5" t="str">
        <f>HEX2BIN(MID($AB19,U$2,2),8)</f>
        <v>00000000</v>
      </c>
      <c r="V20" s="5" t="str">
        <f>HEX2BIN(MID($AB19,V$2,2),8)</f>
        <v>00010001</v>
      </c>
      <c r="W20" s="5" t="str">
        <f>HEX2BIN(MID($AB19,W$2,2),8)</f>
        <v>00100110</v>
      </c>
      <c r="X20" s="5" t="str">
        <f>HEX2BIN(MID($AB19,X$2,2),8)</f>
        <v>00000000</v>
      </c>
      <c r="Y20" s="5" t="str">
        <f>HEX2BIN(MID($AB19,Y$2,2),8)</f>
        <v>01110110</v>
      </c>
      <c r="Z20" s="4"/>
    </row>
    <row r="21" spans="8:28" x14ac:dyDescent="0.25">
      <c r="H21" s="3" t="str">
        <f>MID($AB21,H$2,2)</f>
        <v>23</v>
      </c>
      <c r="I21" s="3" t="str">
        <f>MID($AB21,I$2,2)</f>
        <v>CB</v>
      </c>
      <c r="J21" s="3" t="str">
        <f>MID($AB21,J$2,2)</f>
        <v>26</v>
      </c>
      <c r="K21" s="3" t="str">
        <f>MID($AB21,K$2,2)</f>
        <v>01</v>
      </c>
      <c r="L21" s="3" t="str">
        <f>MID($AB21,L$2,2)</f>
        <v>00</v>
      </c>
      <c r="M21" s="3" t="str">
        <f>MID($AB21,M$2,2)</f>
        <v>20</v>
      </c>
      <c r="N21" s="3" t="str">
        <f>MID($AB21,N$2,2)</f>
        <v>48</v>
      </c>
      <c r="O21" s="3" t="str">
        <f>MID($AB21,O$2,2)</f>
        <v>00</v>
      </c>
      <c r="P21" s="3" t="str">
        <f>MID($AB21,P$2,2)</f>
        <v>00</v>
      </c>
      <c r="Q21" s="3" t="str">
        <f>MID($AB21,Q$2,2)</f>
        <v>41</v>
      </c>
      <c r="R21" s="3" t="str">
        <f>MID($AB21,R$2,2)</f>
        <v>7D</v>
      </c>
      <c r="S21" s="3" t="str">
        <f>MID($AB21,S$2,2)</f>
        <v>00</v>
      </c>
      <c r="T21" s="3" t="str">
        <f>MID($AB21,T$2,2)</f>
        <v>00</v>
      </c>
      <c r="U21" s="3" t="str">
        <f>MID($AB21,U$2,2)</f>
        <v>00</v>
      </c>
      <c r="V21" s="3" t="str">
        <f>MID($AB21,V$2,2)</f>
        <v>11</v>
      </c>
      <c r="W21" s="3" t="str">
        <f>MID($AB21,W$2,2)</f>
        <v>26</v>
      </c>
      <c r="X21" s="3" t="str">
        <f>MID($AB21,X$2,2)</f>
        <v>00</v>
      </c>
      <c r="Y21" s="3" t="str">
        <f>MID($AB21,Y$2,2)</f>
        <v>72</v>
      </c>
      <c r="Z21" s="3"/>
      <c r="AA21" t="s">
        <v>53</v>
      </c>
      <c r="AB21" t="s">
        <v>59</v>
      </c>
    </row>
    <row r="22" spans="8:28" x14ac:dyDescent="0.25">
      <c r="H22" s="5" t="str">
        <f>HEX2BIN(MID($AB21,H$2,2),8)</f>
        <v>00100011</v>
      </c>
      <c r="I22" s="5" t="str">
        <f>HEX2BIN(MID($AB21,I$2,2),8)</f>
        <v>11001011</v>
      </c>
      <c r="J22" s="5" t="str">
        <f>HEX2BIN(MID($AB21,J$2,2),8)</f>
        <v>00100110</v>
      </c>
      <c r="K22" s="5" t="str">
        <f>HEX2BIN(MID($AB21,K$2,2),8)</f>
        <v>00000001</v>
      </c>
      <c r="L22" s="5" t="str">
        <f>HEX2BIN(MID($AB21,L$2,2),8)</f>
        <v>00000000</v>
      </c>
      <c r="M22" s="5" t="str">
        <f>HEX2BIN(MID($AB21,M$2,2),8)</f>
        <v>00100000</v>
      </c>
      <c r="N22" s="5" t="str">
        <f>HEX2BIN(MID($AB21,N$2,2),8)</f>
        <v>01001000</v>
      </c>
      <c r="O22" s="5" t="str">
        <f>HEX2BIN(MID($AB21,O$2,2),8)</f>
        <v>00000000</v>
      </c>
      <c r="P22" s="5" t="str">
        <f>HEX2BIN(MID($AB21,P$2,2),8)</f>
        <v>00000000</v>
      </c>
      <c r="Q22" s="5" t="str">
        <f>HEX2BIN(MID($AB21,Q$2,2),8)</f>
        <v>01000001</v>
      </c>
      <c r="R22" s="5" t="str">
        <f>HEX2BIN(MID($AB21,R$2,2),8)</f>
        <v>01111101</v>
      </c>
      <c r="S22" s="5" t="str">
        <f>HEX2BIN(MID($AB21,S$2,2),8)</f>
        <v>00000000</v>
      </c>
      <c r="T22" s="5" t="str">
        <f>HEX2BIN(MID($AB21,T$2,2),8)</f>
        <v>00000000</v>
      </c>
      <c r="U22" s="5" t="str">
        <f>HEX2BIN(MID($AB21,U$2,2),8)</f>
        <v>00000000</v>
      </c>
      <c r="V22" s="5" t="str">
        <f>HEX2BIN(MID($AB21,V$2,2),8)</f>
        <v>00010001</v>
      </c>
      <c r="W22" s="5" t="str">
        <f>HEX2BIN(MID($AB21,W$2,2),8)</f>
        <v>00100110</v>
      </c>
      <c r="X22" s="5" t="str">
        <f>HEX2BIN(MID($AB21,X$2,2),8)</f>
        <v>00000000</v>
      </c>
      <c r="Y22" s="5" t="str">
        <f>HEX2BIN(MID($AB21,Y$2,2),8)</f>
        <v>01110010</v>
      </c>
      <c r="Z22" s="4"/>
    </row>
    <row r="23" spans="8:28" x14ac:dyDescent="0.25">
      <c r="H23" s="3" t="str">
        <f>MID($AB23,H$2,2)</f>
        <v>23</v>
      </c>
      <c r="I23" s="3" t="str">
        <f>MID($AB23,I$2,2)</f>
        <v>CB</v>
      </c>
      <c r="J23" s="3" t="str">
        <f>MID($AB23,J$2,2)</f>
        <v>26</v>
      </c>
      <c r="K23" s="3" t="str">
        <f>MID($AB23,K$2,2)</f>
        <v>01</v>
      </c>
      <c r="L23" s="3" t="str">
        <f>MID($AB23,L$2,2)</f>
        <v>00</v>
      </c>
      <c r="M23" s="3" t="str">
        <f>MID($AB23,M$2,2)</f>
        <v>20</v>
      </c>
      <c r="N23" s="3" t="str">
        <f>MID($AB23,N$2,2)</f>
        <v>48</v>
      </c>
      <c r="O23" s="3" t="str">
        <f>MID($AB23,O$2,2)</f>
        <v>00</v>
      </c>
      <c r="P23" s="3" t="str">
        <f>MID($AB23,P$2,2)</f>
        <v>00</v>
      </c>
      <c r="Q23" s="3" t="str">
        <f>MID($AB23,Q$2,2)</f>
        <v>42</v>
      </c>
      <c r="R23" s="3" t="str">
        <f>MID($AB23,R$2,2)</f>
        <v>7D</v>
      </c>
      <c r="S23" s="3" t="str">
        <f>MID($AB23,S$2,2)</f>
        <v>00</v>
      </c>
      <c r="T23" s="3" t="str">
        <f>MID($AB23,T$2,2)</f>
        <v>00</v>
      </c>
      <c r="U23" s="3" t="str">
        <f>MID($AB23,U$2,2)</f>
        <v>00</v>
      </c>
      <c r="V23" s="3" t="str">
        <f>MID($AB23,V$2,2)</f>
        <v>11</v>
      </c>
      <c r="W23" s="3" t="str">
        <f>MID($AB23,W$2,2)</f>
        <v>26</v>
      </c>
      <c r="X23" s="3" t="str">
        <f>MID($AB23,X$2,2)</f>
        <v>00</v>
      </c>
      <c r="Y23" s="3" t="str">
        <f>MID($AB23,Y$2,2)</f>
        <v>73</v>
      </c>
      <c r="Z23" s="3"/>
      <c r="AA23" t="s">
        <v>54</v>
      </c>
      <c r="AB23" t="s">
        <v>60</v>
      </c>
    </row>
    <row r="24" spans="8:28" x14ac:dyDescent="0.25">
      <c r="H24" s="5" t="str">
        <f>HEX2BIN(MID($AB23,H$2,2),8)</f>
        <v>00100011</v>
      </c>
      <c r="I24" s="5" t="str">
        <f>HEX2BIN(MID($AB23,I$2,2),8)</f>
        <v>11001011</v>
      </c>
      <c r="J24" s="5" t="str">
        <f>HEX2BIN(MID($AB23,J$2,2),8)</f>
        <v>00100110</v>
      </c>
      <c r="K24" s="5" t="str">
        <f>HEX2BIN(MID($AB23,K$2,2),8)</f>
        <v>00000001</v>
      </c>
      <c r="L24" s="5" t="str">
        <f>HEX2BIN(MID($AB23,L$2,2),8)</f>
        <v>00000000</v>
      </c>
      <c r="M24" s="5" t="str">
        <f>HEX2BIN(MID($AB23,M$2,2),8)</f>
        <v>00100000</v>
      </c>
      <c r="N24" s="5" t="str">
        <f>HEX2BIN(MID($AB23,N$2,2),8)</f>
        <v>01001000</v>
      </c>
      <c r="O24" s="5" t="str">
        <f>HEX2BIN(MID($AB23,O$2,2),8)</f>
        <v>00000000</v>
      </c>
      <c r="P24" s="5" t="str">
        <f>HEX2BIN(MID($AB23,P$2,2),8)</f>
        <v>00000000</v>
      </c>
      <c r="Q24" s="5" t="str">
        <f>HEX2BIN(MID($AB23,Q$2,2),8)</f>
        <v>01000010</v>
      </c>
      <c r="R24" s="5" t="str">
        <f>HEX2BIN(MID($AB23,R$2,2),8)</f>
        <v>01111101</v>
      </c>
      <c r="S24" s="5" t="str">
        <f>HEX2BIN(MID($AB23,S$2,2),8)</f>
        <v>00000000</v>
      </c>
      <c r="T24" s="5" t="str">
        <f>HEX2BIN(MID($AB23,T$2,2),8)</f>
        <v>00000000</v>
      </c>
      <c r="U24" s="5" t="str">
        <f>HEX2BIN(MID($AB23,U$2,2),8)</f>
        <v>00000000</v>
      </c>
      <c r="V24" s="5" t="str">
        <f>HEX2BIN(MID($AB23,V$2,2),8)</f>
        <v>00010001</v>
      </c>
      <c r="W24" s="5" t="str">
        <f>HEX2BIN(MID($AB23,W$2,2),8)</f>
        <v>00100110</v>
      </c>
      <c r="X24" s="5" t="str">
        <f>HEX2BIN(MID($AB23,X$2,2),8)</f>
        <v>00000000</v>
      </c>
      <c r="Y24" s="5" t="str">
        <f>HEX2BIN(MID($AB23,Y$2,2),8)</f>
        <v>01110011</v>
      </c>
      <c r="Z24" s="4"/>
    </row>
    <row r="25" spans="8:28" x14ac:dyDescent="0.25">
      <c r="H25" s="3" t="str">
        <f>MID($AB25,H$2,2)</f>
        <v>23</v>
      </c>
      <c r="I25" s="3" t="str">
        <f>MID($AB25,I$2,2)</f>
        <v>CB</v>
      </c>
      <c r="J25" s="3" t="str">
        <f>MID($AB25,J$2,2)</f>
        <v>26</v>
      </c>
      <c r="K25" s="3" t="str">
        <f>MID($AB25,K$2,2)</f>
        <v>01</v>
      </c>
      <c r="L25" s="3" t="str">
        <f>MID($AB25,L$2,2)</f>
        <v>00</v>
      </c>
      <c r="M25" s="3" t="str">
        <f>MID($AB25,M$2,2)</f>
        <v>20</v>
      </c>
      <c r="N25" s="3" t="str">
        <f>MID($AB25,N$2,2)</f>
        <v>48</v>
      </c>
      <c r="O25" s="3" t="str">
        <f>MID($AB25,O$2,2)</f>
        <v>00</v>
      </c>
      <c r="P25" s="3" t="str">
        <f>MID($AB25,P$2,2)</f>
        <v>00</v>
      </c>
      <c r="Q25" s="3" t="str">
        <f>MID($AB25,Q$2,2)</f>
        <v>43</v>
      </c>
      <c r="R25" s="3" t="str">
        <f>MID($AB25,R$2,2)</f>
        <v>7D</v>
      </c>
      <c r="S25" s="3" t="str">
        <f>MID($AB25,S$2,2)</f>
        <v>00</v>
      </c>
      <c r="T25" s="3" t="str">
        <f>MID($AB25,T$2,2)</f>
        <v>00</v>
      </c>
      <c r="U25" s="3" t="str">
        <f>MID($AB25,U$2,2)</f>
        <v>00</v>
      </c>
      <c r="V25" s="3" t="str">
        <f>MID($AB25,V$2,2)</f>
        <v>11</v>
      </c>
      <c r="W25" s="3" t="str">
        <f>MID($AB25,W$2,2)</f>
        <v>26</v>
      </c>
      <c r="X25" s="3" t="str">
        <f>MID($AB25,X$2,2)</f>
        <v>00</v>
      </c>
      <c r="Y25" s="3" t="str">
        <f>MID($AB25,Y$2,2)</f>
        <v>74</v>
      </c>
      <c r="Z25" s="3"/>
      <c r="AA25" t="s">
        <v>55</v>
      </c>
      <c r="AB25" t="s">
        <v>61</v>
      </c>
    </row>
    <row r="26" spans="8:28" x14ac:dyDescent="0.25">
      <c r="H26" s="5" t="str">
        <f>HEX2BIN(MID($AB25,H$2,2),8)</f>
        <v>00100011</v>
      </c>
      <c r="I26" s="5" t="str">
        <f>HEX2BIN(MID($AB25,I$2,2),8)</f>
        <v>11001011</v>
      </c>
      <c r="J26" s="5" t="str">
        <f>HEX2BIN(MID($AB25,J$2,2),8)</f>
        <v>00100110</v>
      </c>
      <c r="K26" s="5" t="str">
        <f>HEX2BIN(MID($AB25,K$2,2),8)</f>
        <v>00000001</v>
      </c>
      <c r="L26" s="5" t="str">
        <f>HEX2BIN(MID($AB25,L$2,2),8)</f>
        <v>00000000</v>
      </c>
      <c r="M26" s="5" t="str">
        <f>HEX2BIN(MID($AB25,M$2,2),8)</f>
        <v>00100000</v>
      </c>
      <c r="N26" s="5" t="str">
        <f>HEX2BIN(MID($AB25,N$2,2),8)</f>
        <v>01001000</v>
      </c>
      <c r="O26" s="5" t="str">
        <f>HEX2BIN(MID($AB25,O$2,2),8)</f>
        <v>00000000</v>
      </c>
      <c r="P26" s="5" t="str">
        <f>HEX2BIN(MID($AB25,P$2,2),8)</f>
        <v>00000000</v>
      </c>
      <c r="Q26" s="5" t="str">
        <f>HEX2BIN(MID($AB25,Q$2,2),8)</f>
        <v>01000011</v>
      </c>
      <c r="R26" s="5" t="str">
        <f>HEX2BIN(MID($AB25,R$2,2),8)</f>
        <v>01111101</v>
      </c>
      <c r="S26" s="5" t="str">
        <f>HEX2BIN(MID($AB25,S$2,2),8)</f>
        <v>00000000</v>
      </c>
      <c r="T26" s="5" t="str">
        <f>HEX2BIN(MID($AB25,T$2,2),8)</f>
        <v>00000000</v>
      </c>
      <c r="U26" s="5" t="str">
        <f>HEX2BIN(MID($AB25,U$2,2),8)</f>
        <v>00000000</v>
      </c>
      <c r="V26" s="5" t="str">
        <f>HEX2BIN(MID($AB25,V$2,2),8)</f>
        <v>00010001</v>
      </c>
      <c r="W26" s="5" t="str">
        <f>HEX2BIN(MID($AB25,W$2,2),8)</f>
        <v>00100110</v>
      </c>
      <c r="X26" s="5" t="str">
        <f>HEX2BIN(MID($AB25,X$2,2),8)</f>
        <v>00000000</v>
      </c>
      <c r="Y26" s="5" t="str">
        <f>HEX2BIN(MID($AB25,Y$2,2),8)</f>
        <v>01110100</v>
      </c>
      <c r="Z26" s="4"/>
    </row>
    <row r="27" spans="8:28" x14ac:dyDescent="0.25">
      <c r="H27" s="3" t="str">
        <f>MID($AB27,H$2,2)</f>
        <v>23</v>
      </c>
      <c r="I27" s="3" t="str">
        <f>MID($AB27,I$2,2)</f>
        <v>CB</v>
      </c>
      <c r="J27" s="3" t="str">
        <f>MID($AB27,J$2,2)</f>
        <v>26</v>
      </c>
      <c r="K27" s="3" t="str">
        <f>MID($AB27,K$2,2)</f>
        <v>01</v>
      </c>
      <c r="L27" s="3" t="str">
        <f>MID($AB27,L$2,2)</f>
        <v>00</v>
      </c>
      <c r="M27" s="3" t="str">
        <f>MID($AB27,M$2,2)</f>
        <v>20</v>
      </c>
      <c r="N27" s="3" t="str">
        <f>MID($AB27,N$2,2)</f>
        <v>48</v>
      </c>
      <c r="O27" s="3" t="str">
        <f>MID($AB27,O$2,2)</f>
        <v>00</v>
      </c>
      <c r="P27" s="3" t="str">
        <f>MID($AB27,P$2,2)</f>
        <v>00</v>
      </c>
      <c r="Q27" s="3" t="str">
        <f>MID($AB27,Q$2,2)</f>
        <v>44</v>
      </c>
      <c r="R27" s="3" t="str">
        <f>MID($AB27,R$2,2)</f>
        <v>7D</v>
      </c>
      <c r="S27" s="3" t="str">
        <f>MID($AB27,S$2,2)</f>
        <v>00</v>
      </c>
      <c r="T27" s="3" t="str">
        <f>MID($AB27,T$2,2)</f>
        <v>00</v>
      </c>
      <c r="U27" s="3" t="str">
        <f>MID($AB27,U$2,2)</f>
        <v>00</v>
      </c>
      <c r="V27" s="3" t="str">
        <f>MID($AB27,V$2,2)</f>
        <v>11</v>
      </c>
      <c r="W27" s="3" t="str">
        <f>MID($AB27,W$2,2)</f>
        <v>26</v>
      </c>
      <c r="X27" s="3" t="str">
        <f>MID($AB27,X$2,2)</f>
        <v>00</v>
      </c>
      <c r="Y27" s="3" t="str">
        <f>MID($AB27,Y$2,2)</f>
        <v>75</v>
      </c>
      <c r="Z27" s="3"/>
      <c r="AA27" t="s">
        <v>56</v>
      </c>
      <c r="AB27" t="s">
        <v>62</v>
      </c>
    </row>
    <row r="28" spans="8:28" x14ac:dyDescent="0.25">
      <c r="H28" s="5" t="str">
        <f>HEX2BIN(MID($AB27,H$2,2),8)</f>
        <v>00100011</v>
      </c>
      <c r="I28" s="5" t="str">
        <f>HEX2BIN(MID($AB27,I$2,2),8)</f>
        <v>11001011</v>
      </c>
      <c r="J28" s="5" t="str">
        <f>HEX2BIN(MID($AB27,J$2,2),8)</f>
        <v>00100110</v>
      </c>
      <c r="K28" s="5" t="str">
        <f>HEX2BIN(MID($AB27,K$2,2),8)</f>
        <v>00000001</v>
      </c>
      <c r="L28" s="5" t="str">
        <f>HEX2BIN(MID($AB27,L$2,2),8)</f>
        <v>00000000</v>
      </c>
      <c r="M28" s="5" t="str">
        <f>HEX2BIN(MID($AB27,M$2,2),8)</f>
        <v>00100000</v>
      </c>
      <c r="N28" s="5" t="str">
        <f>HEX2BIN(MID($AB27,N$2,2),8)</f>
        <v>01001000</v>
      </c>
      <c r="O28" s="5" t="str">
        <f>HEX2BIN(MID($AB27,O$2,2),8)</f>
        <v>00000000</v>
      </c>
      <c r="P28" s="5" t="str">
        <f>HEX2BIN(MID($AB27,P$2,2),8)</f>
        <v>00000000</v>
      </c>
      <c r="Q28" s="5" t="str">
        <f>HEX2BIN(MID($AB27,Q$2,2),8)</f>
        <v>01000100</v>
      </c>
      <c r="R28" s="5" t="str">
        <f>HEX2BIN(MID($AB27,R$2,2),8)</f>
        <v>01111101</v>
      </c>
      <c r="S28" s="5" t="str">
        <f>HEX2BIN(MID($AB27,S$2,2),8)</f>
        <v>00000000</v>
      </c>
      <c r="T28" s="5" t="str">
        <f>HEX2BIN(MID($AB27,T$2,2),8)</f>
        <v>00000000</v>
      </c>
      <c r="U28" s="5" t="str">
        <f>HEX2BIN(MID($AB27,U$2,2),8)</f>
        <v>00000000</v>
      </c>
      <c r="V28" s="5" t="str">
        <f>HEX2BIN(MID($AB27,V$2,2),8)</f>
        <v>00010001</v>
      </c>
      <c r="W28" s="5" t="str">
        <f>HEX2BIN(MID($AB27,W$2,2),8)</f>
        <v>00100110</v>
      </c>
      <c r="X28" s="5" t="str">
        <f>HEX2BIN(MID($AB27,X$2,2),8)</f>
        <v>00000000</v>
      </c>
      <c r="Y28" s="5" t="str">
        <f>HEX2BIN(MID($AB27,Y$2,2),8)</f>
        <v>01110101</v>
      </c>
      <c r="Z28" s="4"/>
    </row>
    <row r="29" spans="8:28" x14ac:dyDescent="0.25">
      <c r="H29" s="3" t="str">
        <f>MID($AB29,H$2,2)</f>
        <v>23</v>
      </c>
      <c r="I29" s="3" t="str">
        <f>MID($AB29,I$2,2)</f>
        <v>CB</v>
      </c>
      <c r="J29" s="3" t="str">
        <f>MID($AB29,J$2,2)</f>
        <v>26</v>
      </c>
      <c r="K29" s="3" t="str">
        <f>MID($AB29,K$2,2)</f>
        <v>01</v>
      </c>
      <c r="L29" s="3" t="str">
        <f>MID($AB29,L$2,2)</f>
        <v>00</v>
      </c>
      <c r="M29" s="3" t="str">
        <f>MID($AB29,M$2,2)</f>
        <v>20</v>
      </c>
      <c r="N29" s="3" t="str">
        <f>MID($AB29,N$2,2)</f>
        <v>48</v>
      </c>
      <c r="O29" s="3" t="str">
        <f>MID($AB29,O$2,2)</f>
        <v>00</v>
      </c>
      <c r="P29" s="3" t="str">
        <f>MID($AB29,P$2,2)</f>
        <v>00</v>
      </c>
      <c r="Q29" s="3" t="str">
        <f>MID($AB29,Q$2,2)</f>
        <v>80</v>
      </c>
      <c r="R29" s="3" t="str">
        <f>MID($AB29,R$2,2)</f>
        <v>7D</v>
      </c>
      <c r="S29" s="3" t="str">
        <f>MID($AB29,S$2,2)</f>
        <v>00</v>
      </c>
      <c r="T29" s="3" t="str">
        <f>MID($AB29,T$2,2)</f>
        <v>00</v>
      </c>
      <c r="U29" s="3" t="str">
        <f>MID($AB29,U$2,2)</f>
        <v>00</v>
      </c>
      <c r="V29" s="3" t="str">
        <f>MID($AB29,V$2,2)</f>
        <v>11</v>
      </c>
      <c r="W29" s="3" t="str">
        <f>MID($AB29,W$2,2)</f>
        <v>26</v>
      </c>
      <c r="X29" s="3" t="str">
        <f>MID($AB29,X$2,2)</f>
        <v>00</v>
      </c>
      <c r="Y29" s="3" t="str">
        <f>MID($AB29,Y$2,2)</f>
        <v>B1</v>
      </c>
      <c r="Z29" s="3"/>
      <c r="AA29" t="s">
        <v>57</v>
      </c>
      <c r="AB29" t="s">
        <v>63</v>
      </c>
    </row>
    <row r="30" spans="8:28" x14ac:dyDescent="0.25">
      <c r="H30" s="5" t="str">
        <f>HEX2BIN(MID($AB29,H$2,2),8)</f>
        <v>00100011</v>
      </c>
      <c r="I30" s="5" t="str">
        <f>HEX2BIN(MID($AB29,I$2,2),8)</f>
        <v>11001011</v>
      </c>
      <c r="J30" s="5" t="str">
        <f>HEX2BIN(MID($AB29,J$2,2),8)</f>
        <v>00100110</v>
      </c>
      <c r="K30" s="5" t="str">
        <f>HEX2BIN(MID($AB29,K$2,2),8)</f>
        <v>00000001</v>
      </c>
      <c r="L30" s="5" t="str">
        <f>HEX2BIN(MID($AB29,L$2,2),8)</f>
        <v>00000000</v>
      </c>
      <c r="M30" s="5" t="str">
        <f>HEX2BIN(MID($AB29,M$2,2),8)</f>
        <v>00100000</v>
      </c>
      <c r="N30" s="5" t="str">
        <f>HEX2BIN(MID($AB29,N$2,2),8)</f>
        <v>01001000</v>
      </c>
      <c r="O30" s="5" t="str">
        <f>HEX2BIN(MID($AB29,O$2,2),8)</f>
        <v>00000000</v>
      </c>
      <c r="P30" s="5" t="str">
        <f>HEX2BIN(MID($AB29,P$2,2),8)</f>
        <v>00000000</v>
      </c>
      <c r="Q30" s="5" t="str">
        <f>HEX2BIN(MID($AB29,Q$2,2),8)</f>
        <v>10000000</v>
      </c>
      <c r="R30" s="5" t="str">
        <f>HEX2BIN(MID($AB29,R$2,2),8)</f>
        <v>01111101</v>
      </c>
      <c r="S30" s="5" t="str">
        <f>HEX2BIN(MID($AB29,S$2,2),8)</f>
        <v>00000000</v>
      </c>
      <c r="T30" s="5" t="str">
        <f>HEX2BIN(MID($AB29,T$2,2),8)</f>
        <v>00000000</v>
      </c>
      <c r="U30" s="5" t="str">
        <f>HEX2BIN(MID($AB29,U$2,2),8)</f>
        <v>00000000</v>
      </c>
      <c r="V30" s="5" t="str">
        <f>HEX2BIN(MID($AB29,V$2,2),8)</f>
        <v>00010001</v>
      </c>
      <c r="W30" s="5" t="str">
        <f>HEX2BIN(MID($AB29,W$2,2),8)</f>
        <v>00100110</v>
      </c>
      <c r="X30" s="5" t="str">
        <f>HEX2BIN(MID($AB29,X$2,2),8)</f>
        <v>00000000</v>
      </c>
      <c r="Y30" s="5" t="str">
        <f>HEX2BIN(MID($AB29,Y$2,2),8)</f>
        <v>10110001</v>
      </c>
      <c r="Z30" s="4"/>
    </row>
    <row r="31" spans="8:28" x14ac:dyDescent="0.25">
      <c r="H31" s="3" t="str">
        <f>MID($AB31,H$2,2)</f>
        <v/>
      </c>
      <c r="I31" s="3" t="str">
        <f>MID($AB31,I$2,2)</f>
        <v/>
      </c>
      <c r="J31" s="3" t="str">
        <f>MID($AB31,J$2,2)</f>
        <v/>
      </c>
      <c r="K31" s="3" t="str">
        <f>MID($AB31,K$2,2)</f>
        <v/>
      </c>
      <c r="L31" s="3" t="str">
        <f>MID($AB31,L$2,2)</f>
        <v/>
      </c>
      <c r="M31" s="3" t="str">
        <f>MID($AB31,M$2,2)</f>
        <v/>
      </c>
      <c r="N31" s="3" t="str">
        <f>MID($AB31,N$2,2)</f>
        <v/>
      </c>
      <c r="O31" s="3" t="str">
        <f>MID($AB31,O$2,2)</f>
        <v/>
      </c>
      <c r="P31" s="3" t="str">
        <f>MID($AB31,P$2,2)</f>
        <v/>
      </c>
      <c r="Q31" s="3" t="str">
        <f>MID($AB31,Q$2,2)</f>
        <v/>
      </c>
      <c r="R31" s="3" t="str">
        <f>MID($AB31,R$2,2)</f>
        <v/>
      </c>
      <c r="S31" s="3" t="str">
        <f>MID($AB31,S$2,2)</f>
        <v/>
      </c>
      <c r="T31" s="3" t="str">
        <f>MID($AB31,T$2,2)</f>
        <v/>
      </c>
      <c r="U31" s="3" t="str">
        <f>MID($AB31,U$2,2)</f>
        <v/>
      </c>
      <c r="V31" s="3" t="str">
        <f>MID($AB31,V$2,2)</f>
        <v/>
      </c>
      <c r="W31" s="3" t="str">
        <f>MID($AB31,W$2,2)</f>
        <v/>
      </c>
      <c r="X31" s="3" t="str">
        <f>MID($AB31,X$2,2)</f>
        <v/>
      </c>
      <c r="Y31" s="3" t="str">
        <f>MID($AB31,Y$2,2)</f>
        <v/>
      </c>
      <c r="Z31" s="3"/>
    </row>
    <row r="32" spans="8:28" x14ac:dyDescent="0.25">
      <c r="H32" s="5" t="str">
        <f>HEX2BIN(MID($AB31,H$2,2),8)</f>
        <v>00000000</v>
      </c>
      <c r="I32" s="5" t="str">
        <f>HEX2BIN(MID($AB31,I$2,2),8)</f>
        <v>00000000</v>
      </c>
      <c r="J32" s="5" t="str">
        <f>HEX2BIN(MID($AB31,J$2,2),8)</f>
        <v>00000000</v>
      </c>
      <c r="K32" s="5" t="str">
        <f>HEX2BIN(MID($AB31,K$2,2),8)</f>
        <v>00000000</v>
      </c>
      <c r="L32" s="5" t="str">
        <f>HEX2BIN(MID($AB31,L$2,2),8)</f>
        <v>00000000</v>
      </c>
      <c r="M32" s="5" t="str">
        <f>HEX2BIN(MID($AB31,M$2,2),8)</f>
        <v>00000000</v>
      </c>
      <c r="N32" s="5" t="str">
        <f>HEX2BIN(MID($AB31,N$2,2),8)</f>
        <v>00000000</v>
      </c>
      <c r="O32" s="5" t="str">
        <f>HEX2BIN(MID($AB31,O$2,2),8)</f>
        <v>00000000</v>
      </c>
      <c r="P32" s="5" t="str">
        <f>HEX2BIN(MID($AB31,P$2,2),8)</f>
        <v>00000000</v>
      </c>
      <c r="Q32" s="5" t="str">
        <f>HEX2BIN(MID($AB31,Q$2,2),8)</f>
        <v>00000000</v>
      </c>
      <c r="R32" s="5" t="str">
        <f>HEX2BIN(MID($AB31,R$2,2),8)</f>
        <v>00000000</v>
      </c>
      <c r="S32" s="5" t="str">
        <f>HEX2BIN(MID($AB31,S$2,2),8)</f>
        <v>00000000</v>
      </c>
      <c r="T32" s="5" t="str">
        <f>HEX2BIN(MID($AB31,T$2,2),8)</f>
        <v>00000000</v>
      </c>
      <c r="U32" s="5" t="str">
        <f>HEX2BIN(MID($AB31,U$2,2),8)</f>
        <v>00000000</v>
      </c>
      <c r="V32" s="5" t="str">
        <f>HEX2BIN(MID($AB31,V$2,2),8)</f>
        <v>00000000</v>
      </c>
      <c r="W32" s="5" t="str">
        <f>HEX2BIN(MID($AB31,W$2,2),8)</f>
        <v>00000000</v>
      </c>
      <c r="X32" s="5" t="str">
        <f>HEX2BIN(MID($AB31,X$2,2),8)</f>
        <v>00000000</v>
      </c>
      <c r="Y32" s="5" t="str">
        <f>HEX2BIN(MID($AB31,Y$2,2),8)</f>
        <v>00000000</v>
      </c>
      <c r="Z32" s="4"/>
    </row>
    <row r="33" spans="3:28" x14ac:dyDescent="0.25">
      <c r="C33" t="s">
        <v>49</v>
      </c>
      <c r="H33" s="8" t="str">
        <f>MID($AB33,H$2,2)</f>
        <v>23</v>
      </c>
      <c r="I33" s="8" t="str">
        <f>MID($AB33,I$2,2)</f>
        <v>CB</v>
      </c>
      <c r="J33" s="8" t="str">
        <f>MID($AB33,J$2,2)</f>
        <v>26</v>
      </c>
      <c r="K33" s="8" t="str">
        <f>MID($AB33,K$2,2)</f>
        <v>01</v>
      </c>
      <c r="L33" s="8" t="str">
        <f>MID($AB33,L$2,2)</f>
        <v>00</v>
      </c>
      <c r="M33" s="8" t="str">
        <f>MID($AB33,M$2,2)</f>
        <v>20</v>
      </c>
      <c r="N33" s="8" t="str">
        <f>MID($AB33,N$2,2)</f>
        <v>48</v>
      </c>
      <c r="O33" s="8" t="str">
        <f>MID($AB33,O$2,2)</f>
        <v>00</v>
      </c>
      <c r="P33" s="8" t="str">
        <f>MID($AB33,P$2,2)</f>
        <v>00</v>
      </c>
      <c r="Q33" s="8" t="str">
        <f>MID($AB33,Q$2,2)</f>
        <v>40</v>
      </c>
      <c r="R33" s="8" t="str">
        <f>MID($AB33,R$2,2)</f>
        <v>7A</v>
      </c>
      <c r="S33" s="8" t="str">
        <f>MID($AB33,S$2,2)</f>
        <v>00</v>
      </c>
      <c r="T33" s="8" t="str">
        <f>MID($AB33,T$2,2)</f>
        <v>00</v>
      </c>
      <c r="U33" s="8" t="str">
        <f>MID($AB33,U$2,2)</f>
        <v>00</v>
      </c>
      <c r="V33" s="8" t="str">
        <f>MID($AB33,V$2,2)</f>
        <v>11</v>
      </c>
      <c r="W33" s="8" t="str">
        <f>MID($AB33,W$2,2)</f>
        <v>06</v>
      </c>
      <c r="X33" s="8" t="str">
        <f>MID($AB33,X$2,2)</f>
        <v>00</v>
      </c>
      <c r="Y33" s="8" t="str">
        <f>MID($AB33,Y$2,2)</f>
        <v>4E</v>
      </c>
      <c r="Z33" s="3"/>
      <c r="AA33" t="s">
        <v>29</v>
      </c>
      <c r="AB33" t="s">
        <v>31</v>
      </c>
    </row>
    <row r="34" spans="3:28" x14ac:dyDescent="0.25">
      <c r="H34" s="9" t="str">
        <f>HEX2BIN(MID($AB33,H$2,2),8)</f>
        <v>00100011</v>
      </c>
      <c r="I34" s="9" t="str">
        <f>HEX2BIN(MID($AB33,I$2,2),8)</f>
        <v>11001011</v>
      </c>
      <c r="J34" s="9" t="str">
        <f>HEX2BIN(MID($AB33,J$2,2),8)</f>
        <v>00100110</v>
      </c>
      <c r="K34" s="9" t="str">
        <f>HEX2BIN(MID($AB33,K$2,2),8)</f>
        <v>00000001</v>
      </c>
      <c r="L34" s="9" t="str">
        <f>HEX2BIN(MID($AB33,L$2,2),8)</f>
        <v>00000000</v>
      </c>
      <c r="M34" s="9" t="str">
        <f>HEX2BIN(MID($AB33,M$2,2),8)</f>
        <v>00100000</v>
      </c>
      <c r="N34" s="9" t="str">
        <f>HEX2BIN(MID($AB33,N$2,2),8)</f>
        <v>01001000</v>
      </c>
      <c r="O34" s="9" t="str">
        <f>HEX2BIN(MID($AB33,O$2,2),8)</f>
        <v>00000000</v>
      </c>
      <c r="P34" s="9" t="str">
        <f>HEX2BIN(MID($AB33,P$2,2),8)</f>
        <v>00000000</v>
      </c>
      <c r="Q34" s="9" t="str">
        <f>HEX2BIN(MID($AB33,Q$2,2),8)</f>
        <v>01000000</v>
      </c>
      <c r="R34" s="9" t="str">
        <f>HEX2BIN(MID($AB33,R$2,2),8)</f>
        <v>01111010</v>
      </c>
      <c r="S34" s="9" t="str">
        <f>HEX2BIN(MID($AB33,S$2,2),8)</f>
        <v>00000000</v>
      </c>
      <c r="T34" s="9" t="str">
        <f>HEX2BIN(MID($AB33,T$2,2),8)</f>
        <v>00000000</v>
      </c>
      <c r="U34" s="9" t="str">
        <f>HEX2BIN(MID($AB33,U$2,2),8)</f>
        <v>00000000</v>
      </c>
      <c r="V34" s="9" t="str">
        <f>HEX2BIN(MID($AB33,V$2,2),8)</f>
        <v>00010001</v>
      </c>
      <c r="W34" s="9" t="str">
        <f>HEX2BIN(MID($AB33,W$2,2),8)</f>
        <v>00000110</v>
      </c>
      <c r="X34" s="9" t="str">
        <f>HEX2BIN(MID($AB33,X$2,2),8)</f>
        <v>00000000</v>
      </c>
      <c r="Y34" s="9" t="str">
        <f>HEX2BIN(MID($AB33,Y$2,2),8)</f>
        <v>01001110</v>
      </c>
      <c r="Z34" s="4"/>
    </row>
    <row r="35" spans="3:28" x14ac:dyDescent="0.25">
      <c r="H35" s="8" t="str">
        <f>MID($AB35,H$2,2)</f>
        <v>23</v>
      </c>
      <c r="I35" s="8" t="str">
        <f>MID($AB35,I$2,2)</f>
        <v>CB</v>
      </c>
      <c r="J35" s="8" t="str">
        <f>MID($AB35,J$2,2)</f>
        <v>26</v>
      </c>
      <c r="K35" s="8" t="str">
        <f>MID($AB35,K$2,2)</f>
        <v>01</v>
      </c>
      <c r="L35" s="8" t="str">
        <f>MID($AB35,L$2,2)</f>
        <v>00</v>
      </c>
      <c r="M35" s="8" t="str">
        <f>MID($AB35,M$2,2)</f>
        <v>20</v>
      </c>
      <c r="N35" s="8" t="str">
        <f>MID($AB35,N$2,2)</f>
        <v>48</v>
      </c>
      <c r="O35" s="8" t="str">
        <f>MID($AB35,O$2,2)</f>
        <v>00</v>
      </c>
      <c r="P35" s="8" t="str">
        <f>MID($AB35,P$2,2)</f>
        <v>00</v>
      </c>
      <c r="Q35" s="8" t="str">
        <f>MID($AB35,Q$2,2)</f>
        <v>40</v>
      </c>
      <c r="R35" s="8" t="str">
        <f>MID($AB35,R$2,2)</f>
        <v>7A</v>
      </c>
      <c r="S35" s="8" t="str">
        <f>MID($AB35,S$2,2)</f>
        <v>00</v>
      </c>
      <c r="T35" s="8" t="str">
        <f>MID($AB35,T$2,2)</f>
        <v>00</v>
      </c>
      <c r="U35" s="8" t="str">
        <f>MID($AB35,U$2,2)</f>
        <v>00</v>
      </c>
      <c r="V35" s="8" t="str">
        <f>MID($AB35,V$2,2)</f>
        <v>11</v>
      </c>
      <c r="W35" s="8" t="str">
        <f>MID($AB35,W$2,2)</f>
        <v>06</v>
      </c>
      <c r="X35" s="8" t="str">
        <f>MID($AB35,X$2,2)</f>
        <v>00</v>
      </c>
      <c r="Y35" s="8" t="str">
        <f>MID($AB35,Y$2,2)</f>
        <v>4E</v>
      </c>
      <c r="Z35" s="3"/>
      <c r="AA35" t="s">
        <v>30</v>
      </c>
      <c r="AB35" t="s">
        <v>31</v>
      </c>
    </row>
    <row r="36" spans="3:28" x14ac:dyDescent="0.25">
      <c r="H36" s="9" t="str">
        <f>HEX2BIN(MID($AB35,H$2,2),8)</f>
        <v>00100011</v>
      </c>
      <c r="I36" s="9" t="str">
        <f>HEX2BIN(MID($AB35,I$2,2),8)</f>
        <v>11001011</v>
      </c>
      <c r="J36" s="9" t="str">
        <f>HEX2BIN(MID($AB35,J$2,2),8)</f>
        <v>00100110</v>
      </c>
      <c r="K36" s="9" t="str">
        <f>HEX2BIN(MID($AB35,K$2,2),8)</f>
        <v>00000001</v>
      </c>
      <c r="L36" s="9" t="str">
        <f>HEX2BIN(MID($AB35,L$2,2),8)</f>
        <v>00000000</v>
      </c>
      <c r="M36" s="9" t="str">
        <f>HEX2BIN(MID($AB35,M$2,2),8)</f>
        <v>00100000</v>
      </c>
      <c r="N36" s="9" t="str">
        <f>HEX2BIN(MID($AB35,N$2,2),8)</f>
        <v>01001000</v>
      </c>
      <c r="O36" s="9" t="str">
        <f>HEX2BIN(MID($AB35,O$2,2),8)</f>
        <v>00000000</v>
      </c>
      <c r="P36" s="9" t="str">
        <f>HEX2BIN(MID($AB35,P$2,2),8)</f>
        <v>00000000</v>
      </c>
      <c r="Q36" s="9" t="str">
        <f>HEX2BIN(MID($AB35,Q$2,2),8)</f>
        <v>01000000</v>
      </c>
      <c r="R36" s="9" t="str">
        <f>HEX2BIN(MID($AB35,R$2,2),8)</f>
        <v>01111010</v>
      </c>
      <c r="S36" s="9" t="str">
        <f>HEX2BIN(MID($AB35,S$2,2),8)</f>
        <v>00000000</v>
      </c>
      <c r="T36" s="9" t="str">
        <f>HEX2BIN(MID($AB35,T$2,2),8)</f>
        <v>00000000</v>
      </c>
      <c r="U36" s="9" t="str">
        <f>HEX2BIN(MID($AB35,U$2,2),8)</f>
        <v>00000000</v>
      </c>
      <c r="V36" s="9" t="str">
        <f>HEX2BIN(MID($AB35,V$2,2),8)</f>
        <v>00010001</v>
      </c>
      <c r="W36" s="9" t="str">
        <f>HEX2BIN(MID($AB35,W$2,2),8)</f>
        <v>00000110</v>
      </c>
      <c r="X36" s="9" t="str">
        <f>HEX2BIN(MID($AB35,X$2,2),8)</f>
        <v>00000000</v>
      </c>
      <c r="Y36" s="9" t="str">
        <f>HEX2BIN(MID($AB35,Y$2,2),8)</f>
        <v>01001110</v>
      </c>
      <c r="Z36" s="4"/>
    </row>
    <row r="37" spans="3:28" x14ac:dyDescent="0.25">
      <c r="H37" s="8" t="str">
        <f>MID($AB37,H$2,2)</f>
        <v>23</v>
      </c>
      <c r="I37" s="8" t="str">
        <f>MID($AB37,I$2,2)</f>
        <v>CB</v>
      </c>
      <c r="J37" s="8" t="str">
        <f>MID($AB37,J$2,2)</f>
        <v>26</v>
      </c>
      <c r="K37" s="8" t="str">
        <f>MID($AB37,K$2,2)</f>
        <v>01</v>
      </c>
      <c r="L37" s="8" t="str">
        <f>MID($AB37,L$2,2)</f>
        <v>00</v>
      </c>
      <c r="M37" s="8" t="str">
        <f>MID($AB37,M$2,2)</f>
        <v>20</v>
      </c>
      <c r="N37" s="8" t="str">
        <f>MID($AB37,N$2,2)</f>
        <v>48</v>
      </c>
      <c r="O37" s="8" t="str">
        <f>MID($AB37,O$2,2)</f>
        <v>00</v>
      </c>
      <c r="P37" s="8" t="str">
        <f>MID($AB37,P$2,2)</f>
        <v>00</v>
      </c>
      <c r="Q37" s="8" t="str">
        <f>MID($AB37,Q$2,2)</f>
        <v>40</v>
      </c>
      <c r="R37" s="8" t="str">
        <f>MID($AB37,R$2,2)</f>
        <v>7A</v>
      </c>
      <c r="S37" s="8" t="str">
        <f>MID($AB37,S$2,2)</f>
        <v>00</v>
      </c>
      <c r="T37" s="8" t="str">
        <f>MID($AB37,T$2,2)</f>
        <v>00</v>
      </c>
      <c r="U37" s="8" t="str">
        <f>MID($AB37,U$2,2)</f>
        <v>00</v>
      </c>
      <c r="V37" s="8" t="str">
        <f>MID($AB37,V$2,2)</f>
        <v>11</v>
      </c>
      <c r="W37" s="8" t="str">
        <f>MID($AB37,W$2,2)</f>
        <v>06</v>
      </c>
      <c r="X37" s="8" t="str">
        <f>MID($AB37,X$2,2)</f>
        <v>00</v>
      </c>
      <c r="Y37" s="8" t="str">
        <f>MID($AB37,Y$2,2)</f>
        <v>4E</v>
      </c>
      <c r="Z37" s="3"/>
      <c r="AA37" t="s">
        <v>29</v>
      </c>
      <c r="AB37" t="s">
        <v>31</v>
      </c>
    </row>
    <row r="38" spans="3:28" x14ac:dyDescent="0.25">
      <c r="H38" s="9" t="str">
        <f>HEX2BIN(MID($AB37,H$2,2),8)</f>
        <v>00100011</v>
      </c>
      <c r="I38" s="9" t="str">
        <f>HEX2BIN(MID($AB37,I$2,2),8)</f>
        <v>11001011</v>
      </c>
      <c r="J38" s="9" t="str">
        <f>HEX2BIN(MID($AB37,J$2,2),8)</f>
        <v>00100110</v>
      </c>
      <c r="K38" s="9" t="str">
        <f>HEX2BIN(MID($AB37,K$2,2),8)</f>
        <v>00000001</v>
      </c>
      <c r="L38" s="9" t="str">
        <f>HEX2BIN(MID($AB37,L$2,2),8)</f>
        <v>00000000</v>
      </c>
      <c r="M38" s="9" t="str">
        <f>HEX2BIN(MID($AB37,M$2,2),8)</f>
        <v>00100000</v>
      </c>
      <c r="N38" s="9" t="str">
        <f>HEX2BIN(MID($AB37,N$2,2),8)</f>
        <v>01001000</v>
      </c>
      <c r="O38" s="9" t="str">
        <f>HEX2BIN(MID($AB37,O$2,2),8)</f>
        <v>00000000</v>
      </c>
      <c r="P38" s="9" t="str">
        <f>HEX2BIN(MID($AB37,P$2,2),8)</f>
        <v>00000000</v>
      </c>
      <c r="Q38" s="9" t="str">
        <f>HEX2BIN(MID($AB37,Q$2,2),8)</f>
        <v>01000000</v>
      </c>
      <c r="R38" s="9" t="str">
        <f>HEX2BIN(MID($AB37,R$2,2),8)</f>
        <v>01111010</v>
      </c>
      <c r="S38" s="9" t="str">
        <f>HEX2BIN(MID($AB37,S$2,2),8)</f>
        <v>00000000</v>
      </c>
      <c r="T38" s="9" t="str">
        <f>HEX2BIN(MID($AB37,T$2,2),8)</f>
        <v>00000000</v>
      </c>
      <c r="U38" s="9" t="str">
        <f>HEX2BIN(MID($AB37,U$2,2),8)</f>
        <v>00000000</v>
      </c>
      <c r="V38" s="9" t="str">
        <f>HEX2BIN(MID($AB37,V$2,2),8)</f>
        <v>00010001</v>
      </c>
      <c r="W38" s="9" t="str">
        <f>HEX2BIN(MID($AB37,W$2,2),8)</f>
        <v>00000110</v>
      </c>
      <c r="X38" s="9" t="str">
        <f>HEX2BIN(MID($AB37,X$2,2),8)</f>
        <v>00000000</v>
      </c>
      <c r="Y38" s="9" t="str">
        <f>HEX2BIN(MID($AB37,Y$2,2),8)</f>
        <v>01001110</v>
      </c>
      <c r="Z38" s="4"/>
    </row>
    <row r="39" spans="3:28" x14ac:dyDescent="0.25">
      <c r="H39" s="8" t="str">
        <f>MID($AB39,H$2,2)</f>
        <v>23</v>
      </c>
      <c r="I39" s="8" t="str">
        <f>MID($AB39,I$2,2)</f>
        <v>CB</v>
      </c>
      <c r="J39" s="8" t="str">
        <f>MID($AB39,J$2,2)</f>
        <v>26</v>
      </c>
      <c r="K39" s="8" t="str">
        <f>MID($AB39,K$2,2)</f>
        <v>01</v>
      </c>
      <c r="L39" s="8" t="str">
        <f>MID($AB39,L$2,2)</f>
        <v>00</v>
      </c>
      <c r="M39" s="8" t="str">
        <f>MID($AB39,M$2,2)</f>
        <v>20</v>
      </c>
      <c r="N39" s="8" t="str">
        <f>MID($AB39,N$2,2)</f>
        <v>48</v>
      </c>
      <c r="O39" s="8" t="str">
        <f>MID($AB39,O$2,2)</f>
        <v>00</v>
      </c>
      <c r="P39" s="8" t="str">
        <f>MID($AB39,P$2,2)</f>
        <v>00</v>
      </c>
      <c r="Q39" s="8" t="str">
        <f>MID($AB39,Q$2,2)</f>
        <v>40</v>
      </c>
      <c r="R39" s="8" t="str">
        <f>MID($AB39,R$2,2)</f>
        <v>7A</v>
      </c>
      <c r="S39" s="8" t="str">
        <f>MID($AB39,S$2,2)</f>
        <v>00</v>
      </c>
      <c r="T39" s="8" t="str">
        <f>MID($AB39,T$2,2)</f>
        <v>00</v>
      </c>
      <c r="U39" s="8" t="str">
        <f>MID($AB39,U$2,2)</f>
        <v>00</v>
      </c>
      <c r="V39" s="8" t="str">
        <f>MID($AB39,V$2,2)</f>
        <v>11</v>
      </c>
      <c r="W39" s="8" t="str">
        <f>MID($AB39,W$2,2)</f>
        <v>06</v>
      </c>
      <c r="X39" s="8" t="str">
        <f>MID($AB39,X$2,2)</f>
        <v>00</v>
      </c>
      <c r="Y39" s="8" t="str">
        <f>MID($AB39,Y$2,2)</f>
        <v>4E</v>
      </c>
      <c r="Z39" s="3"/>
      <c r="AA39" t="s">
        <v>30</v>
      </c>
      <c r="AB39" t="s">
        <v>31</v>
      </c>
    </row>
    <row r="40" spans="3:28" x14ac:dyDescent="0.25">
      <c r="H40" s="9" t="str">
        <f>HEX2BIN(MID($AB39,H$2,2),8)</f>
        <v>00100011</v>
      </c>
      <c r="I40" s="9" t="str">
        <f>HEX2BIN(MID($AB39,I$2,2),8)</f>
        <v>11001011</v>
      </c>
      <c r="J40" s="9" t="str">
        <f>HEX2BIN(MID($AB39,J$2,2),8)</f>
        <v>00100110</v>
      </c>
      <c r="K40" s="9" t="str">
        <f>HEX2BIN(MID($AB39,K$2,2),8)</f>
        <v>00000001</v>
      </c>
      <c r="L40" s="9" t="str">
        <f>HEX2BIN(MID($AB39,L$2,2),8)</f>
        <v>00000000</v>
      </c>
      <c r="M40" s="9" t="str">
        <f>HEX2BIN(MID($AB39,M$2,2),8)</f>
        <v>00100000</v>
      </c>
      <c r="N40" s="9" t="str">
        <f>HEX2BIN(MID($AB39,N$2,2),8)</f>
        <v>01001000</v>
      </c>
      <c r="O40" s="9" t="str">
        <f>HEX2BIN(MID($AB39,O$2,2),8)</f>
        <v>00000000</v>
      </c>
      <c r="P40" s="9" t="str">
        <f>HEX2BIN(MID($AB39,P$2,2),8)</f>
        <v>00000000</v>
      </c>
      <c r="Q40" s="9" t="str">
        <f>HEX2BIN(MID($AB39,Q$2,2),8)</f>
        <v>01000000</v>
      </c>
      <c r="R40" s="9" t="str">
        <f>HEX2BIN(MID($AB39,R$2,2),8)</f>
        <v>01111010</v>
      </c>
      <c r="S40" s="9" t="str">
        <f>HEX2BIN(MID($AB39,S$2,2),8)</f>
        <v>00000000</v>
      </c>
      <c r="T40" s="9" t="str">
        <f>HEX2BIN(MID($AB39,T$2,2),8)</f>
        <v>00000000</v>
      </c>
      <c r="U40" s="9" t="str">
        <f>HEX2BIN(MID($AB39,U$2,2),8)</f>
        <v>00000000</v>
      </c>
      <c r="V40" s="9" t="str">
        <f>HEX2BIN(MID($AB39,V$2,2),8)</f>
        <v>00010001</v>
      </c>
      <c r="W40" s="9" t="str">
        <f>HEX2BIN(MID($AB39,W$2,2),8)</f>
        <v>00000110</v>
      </c>
      <c r="X40" s="9" t="str">
        <f>HEX2BIN(MID($AB39,X$2,2),8)</f>
        <v>00000000</v>
      </c>
      <c r="Y40" s="9" t="str">
        <f>HEX2BIN(MID($AB39,Y$2,2),8)</f>
        <v>01001110</v>
      </c>
      <c r="Z40" s="4"/>
    </row>
    <row r="41" spans="3:28" x14ac:dyDescent="0.25">
      <c r="H41" s="8" t="str">
        <f>MID($AB41,H$2,2)</f>
        <v>23</v>
      </c>
      <c r="I41" s="8" t="str">
        <f>MID($AB41,I$2,2)</f>
        <v>CB</v>
      </c>
      <c r="J41" s="8" t="str">
        <f>MID($AB41,J$2,2)</f>
        <v>26</v>
      </c>
      <c r="K41" s="8" t="str">
        <f>MID($AB41,K$2,2)</f>
        <v>01</v>
      </c>
      <c r="L41" s="8" t="str">
        <f>MID($AB41,L$2,2)</f>
        <v>00</v>
      </c>
      <c r="M41" s="8" t="str">
        <f>MID($AB41,M$2,2)</f>
        <v>20</v>
      </c>
      <c r="N41" s="8" t="str">
        <f>MID($AB41,N$2,2)</f>
        <v>48</v>
      </c>
      <c r="O41" s="8" t="str">
        <f>MID($AB41,O$2,2)</f>
        <v>00</v>
      </c>
      <c r="P41" s="8" t="str">
        <f>MID($AB41,P$2,2)</f>
        <v>00</v>
      </c>
      <c r="Q41" s="8" t="str">
        <f>MID($AB41,Q$2,2)</f>
        <v>40</v>
      </c>
      <c r="R41" s="8" t="str">
        <f>MID($AB41,R$2,2)</f>
        <v>7A</v>
      </c>
      <c r="S41" s="8" t="str">
        <f>MID($AB41,S$2,2)</f>
        <v>00</v>
      </c>
      <c r="T41" s="8" t="str">
        <f>MID($AB41,T$2,2)</f>
        <v>00</v>
      </c>
      <c r="U41" s="8" t="str">
        <f>MID($AB41,U$2,2)</f>
        <v>00</v>
      </c>
      <c r="V41" s="8" t="str">
        <f>MID($AB41,V$2,2)</f>
        <v>11</v>
      </c>
      <c r="W41" s="8" t="str">
        <f>MID($AB41,W$2,2)</f>
        <v>06</v>
      </c>
      <c r="X41" s="8" t="str">
        <f>MID($AB41,X$2,2)</f>
        <v>00</v>
      </c>
      <c r="Y41" s="8" t="str">
        <f>MID($AB41,Y$2,2)</f>
        <v>4E</v>
      </c>
      <c r="Z41" s="3"/>
      <c r="AA41" t="s">
        <v>29</v>
      </c>
      <c r="AB41" t="s">
        <v>31</v>
      </c>
    </row>
    <row r="42" spans="3:28" x14ac:dyDescent="0.25">
      <c r="H42" s="9" t="str">
        <f>HEX2BIN(MID($AB41,H$2,2),8)</f>
        <v>00100011</v>
      </c>
      <c r="I42" s="9" t="str">
        <f>HEX2BIN(MID($AB41,I$2,2),8)</f>
        <v>11001011</v>
      </c>
      <c r="J42" s="9" t="str">
        <f>HEX2BIN(MID($AB41,J$2,2),8)</f>
        <v>00100110</v>
      </c>
      <c r="K42" s="9" t="str">
        <f>HEX2BIN(MID($AB41,K$2,2),8)</f>
        <v>00000001</v>
      </c>
      <c r="L42" s="9" t="str">
        <f>HEX2BIN(MID($AB41,L$2,2),8)</f>
        <v>00000000</v>
      </c>
      <c r="M42" s="9" t="str">
        <f>HEX2BIN(MID($AB41,M$2,2),8)</f>
        <v>00100000</v>
      </c>
      <c r="N42" s="9" t="str">
        <f>HEX2BIN(MID($AB41,N$2,2),8)</f>
        <v>01001000</v>
      </c>
      <c r="O42" s="9" t="str">
        <f>HEX2BIN(MID($AB41,O$2,2),8)</f>
        <v>00000000</v>
      </c>
      <c r="P42" s="9" t="str">
        <f>HEX2BIN(MID($AB41,P$2,2),8)</f>
        <v>00000000</v>
      </c>
      <c r="Q42" s="9" t="str">
        <f>HEX2BIN(MID($AB41,Q$2,2),8)</f>
        <v>01000000</v>
      </c>
      <c r="R42" s="9" t="str">
        <f>HEX2BIN(MID($AB41,R$2,2),8)</f>
        <v>01111010</v>
      </c>
      <c r="S42" s="9" t="str">
        <f>HEX2BIN(MID($AB41,S$2,2),8)</f>
        <v>00000000</v>
      </c>
      <c r="T42" s="9" t="str">
        <f>HEX2BIN(MID($AB41,T$2,2),8)</f>
        <v>00000000</v>
      </c>
      <c r="U42" s="9" t="str">
        <f>HEX2BIN(MID($AB41,U$2,2),8)</f>
        <v>00000000</v>
      </c>
      <c r="V42" s="9" t="str">
        <f>HEX2BIN(MID($AB41,V$2,2),8)</f>
        <v>00010001</v>
      </c>
      <c r="W42" s="9" t="str">
        <f>HEX2BIN(MID($AB41,W$2,2),8)</f>
        <v>00000110</v>
      </c>
      <c r="X42" s="9" t="str">
        <f>HEX2BIN(MID($AB41,X$2,2),8)</f>
        <v>00000000</v>
      </c>
      <c r="Y42" s="9" t="str">
        <f>HEX2BIN(MID($AB41,Y$2,2),8)</f>
        <v>01001110</v>
      </c>
      <c r="Z42" s="4"/>
    </row>
    <row r="43" spans="3:28" x14ac:dyDescent="0.25">
      <c r="H43" s="8" t="str">
        <f>MID($AB43,H$2,2)</f>
        <v>23</v>
      </c>
      <c r="I43" s="8" t="str">
        <f>MID($AB43,I$2,2)</f>
        <v>CB</v>
      </c>
      <c r="J43" s="8" t="str">
        <f>MID($AB43,J$2,2)</f>
        <v>26</v>
      </c>
      <c r="K43" s="8" t="str">
        <f>MID($AB43,K$2,2)</f>
        <v>01</v>
      </c>
      <c r="L43" s="8" t="str">
        <f>MID($AB43,L$2,2)</f>
        <v>00</v>
      </c>
      <c r="M43" s="8" t="str">
        <f>MID($AB43,M$2,2)</f>
        <v>20</v>
      </c>
      <c r="N43" s="8" t="str">
        <f>MID($AB43,N$2,2)</f>
        <v>48</v>
      </c>
      <c r="O43" s="8" t="str">
        <f>MID($AB43,O$2,2)</f>
        <v>00</v>
      </c>
      <c r="P43" s="8" t="str">
        <f>MID($AB43,P$2,2)</f>
        <v>00</v>
      </c>
      <c r="Q43" s="8" t="str">
        <f>MID($AB43,Q$2,2)</f>
        <v>40</v>
      </c>
      <c r="R43" s="8" t="str">
        <f>MID($AB43,R$2,2)</f>
        <v>7A</v>
      </c>
      <c r="S43" s="8" t="str">
        <f>MID($AB43,S$2,2)</f>
        <v>00</v>
      </c>
      <c r="T43" s="8" t="str">
        <f>MID($AB43,T$2,2)</f>
        <v>00</v>
      </c>
      <c r="U43" s="8" t="str">
        <f>MID($AB43,U$2,2)</f>
        <v>00</v>
      </c>
      <c r="V43" s="8" t="str">
        <f>MID($AB43,V$2,2)</f>
        <v>11</v>
      </c>
      <c r="W43" s="8" t="str">
        <f>MID($AB43,W$2,2)</f>
        <v>06</v>
      </c>
      <c r="X43" s="8" t="str">
        <f>MID($AB43,X$2,2)</f>
        <v>00</v>
      </c>
      <c r="Y43" s="8" t="str">
        <f>MID($AB43,Y$2,2)</f>
        <v>4E</v>
      </c>
      <c r="Z43" s="3"/>
      <c r="AA43" t="s">
        <v>30</v>
      </c>
      <c r="AB43" t="s">
        <v>31</v>
      </c>
    </row>
    <row r="44" spans="3:28" x14ac:dyDescent="0.25">
      <c r="H44" s="9" t="str">
        <f>HEX2BIN(MID($AB43,H$2,2),8)</f>
        <v>00100011</v>
      </c>
      <c r="I44" s="9" t="str">
        <f>HEX2BIN(MID($AB43,I$2,2),8)</f>
        <v>11001011</v>
      </c>
      <c r="J44" s="9" t="str">
        <f>HEX2BIN(MID($AB43,J$2,2),8)</f>
        <v>00100110</v>
      </c>
      <c r="K44" s="9" t="str">
        <f>HEX2BIN(MID($AB43,K$2,2),8)</f>
        <v>00000001</v>
      </c>
      <c r="L44" s="9" t="str">
        <f>HEX2BIN(MID($AB43,L$2,2),8)</f>
        <v>00000000</v>
      </c>
      <c r="M44" s="9" t="str">
        <f>HEX2BIN(MID($AB43,M$2,2),8)</f>
        <v>00100000</v>
      </c>
      <c r="N44" s="9" t="str">
        <f>HEX2BIN(MID($AB43,N$2,2),8)</f>
        <v>01001000</v>
      </c>
      <c r="O44" s="9" t="str">
        <f>HEX2BIN(MID($AB43,O$2,2),8)</f>
        <v>00000000</v>
      </c>
      <c r="P44" s="9" t="str">
        <f>HEX2BIN(MID($AB43,P$2,2),8)</f>
        <v>00000000</v>
      </c>
      <c r="Q44" s="9" t="str">
        <f>HEX2BIN(MID($AB43,Q$2,2),8)</f>
        <v>01000000</v>
      </c>
      <c r="R44" s="9" t="str">
        <f>HEX2BIN(MID($AB43,R$2,2),8)</f>
        <v>01111010</v>
      </c>
      <c r="S44" s="9" t="str">
        <f>HEX2BIN(MID($AB43,S$2,2),8)</f>
        <v>00000000</v>
      </c>
      <c r="T44" s="9" t="str">
        <f>HEX2BIN(MID($AB43,T$2,2),8)</f>
        <v>00000000</v>
      </c>
      <c r="U44" s="9" t="str">
        <f>HEX2BIN(MID($AB43,U$2,2),8)</f>
        <v>00000000</v>
      </c>
      <c r="V44" s="9" t="str">
        <f>HEX2BIN(MID($AB43,V$2,2),8)</f>
        <v>00010001</v>
      </c>
      <c r="W44" s="9" t="str">
        <f>HEX2BIN(MID($AB43,W$2,2),8)</f>
        <v>00000110</v>
      </c>
      <c r="X44" s="9" t="str">
        <f>HEX2BIN(MID($AB43,X$2,2),8)</f>
        <v>00000000</v>
      </c>
      <c r="Y44" s="9" t="str">
        <f>HEX2BIN(MID($AB43,Y$2,2),8)</f>
        <v>01001110</v>
      </c>
      <c r="Z44" s="4"/>
    </row>
    <row r="45" spans="3:28" x14ac:dyDescent="0.25">
      <c r="C45" t="s">
        <v>48</v>
      </c>
      <c r="H45" s="12" t="str">
        <f>MID($AB45,H$2,2)</f>
        <v>23</v>
      </c>
      <c r="I45" s="12" t="str">
        <f>MID($AB45,I$2,2)</f>
        <v>CB</v>
      </c>
      <c r="J45" s="12" t="str">
        <f>MID($AB45,J$2,2)</f>
        <v>26</v>
      </c>
      <c r="K45" s="12" t="str">
        <f>MID($AB45,K$2,2)</f>
        <v>01</v>
      </c>
      <c r="L45" s="12" t="str">
        <f>MID($AB45,L$2,2)</f>
        <v>00</v>
      </c>
      <c r="M45" s="12" t="str">
        <f>MID($AB45,M$2,2)</f>
        <v>20</v>
      </c>
      <c r="N45" s="12" t="str">
        <f>MID($AB45,N$2,2)</f>
        <v>48</v>
      </c>
      <c r="O45" s="12" t="e">
        <f>_xlfn.BITAND(O$4,O46)</f>
        <v>#VALUE!</v>
      </c>
      <c r="P45" s="12" t="str">
        <f>MID($AB45,P$2,2)</f>
        <v>00</v>
      </c>
      <c r="Q45" s="12" t="str">
        <f>MID($AB45,Q$2,2)</f>
        <v>40</v>
      </c>
      <c r="R45" s="12" t="str">
        <f>MID($AB45,R$2,2)</f>
        <v>79</v>
      </c>
      <c r="S45" s="12" t="str">
        <f>MID($AB45,S$2,2)</f>
        <v>00</v>
      </c>
      <c r="T45" s="12" t="str">
        <f>MID($AB45,T$2,2)</f>
        <v>00</v>
      </c>
      <c r="U45" s="12" t="str">
        <f>MID($AB45,U$2,2)</f>
        <v>00</v>
      </c>
      <c r="V45" s="12" t="str">
        <f>MID($AB45,V$2,2)</f>
        <v>11</v>
      </c>
      <c r="W45" s="12" t="str">
        <f>MID($AB45,W$2,2)</f>
        <v>06</v>
      </c>
      <c r="X45" s="12" t="str">
        <f>MID($AB45,X$2,2)</f>
        <v>00</v>
      </c>
      <c r="Y45" s="12" t="str">
        <f>MID($AB45,Y$2,2)</f>
        <v>4D</v>
      </c>
      <c r="Z45" s="3"/>
      <c r="AA45" t="s">
        <v>44</v>
      </c>
      <c r="AB45" t="s">
        <v>13</v>
      </c>
    </row>
    <row r="46" spans="3:28" x14ac:dyDescent="0.25">
      <c r="H46" s="13" t="str">
        <f>HEX2BIN(MID($AB45,H$2,2),8)</f>
        <v>00100011</v>
      </c>
      <c r="I46" s="13" t="str">
        <f>HEX2BIN(MID($AB45,I$2,2),8)</f>
        <v>11001011</v>
      </c>
      <c r="J46" s="13" t="str">
        <f>HEX2BIN(MID($AB45,J$2,2),8)</f>
        <v>00100110</v>
      </c>
      <c r="K46" s="13" t="str">
        <f>HEX2BIN(MID($AB45,K$2,2),8)</f>
        <v>00000001</v>
      </c>
      <c r="L46" s="13" t="str">
        <f>HEX2BIN(MID($AB45,L$2,2),8)</f>
        <v>00000000</v>
      </c>
      <c r="M46" s="13" t="str">
        <f>HEX2BIN(MID($AB45,M$2,2),8)</f>
        <v>00100000</v>
      </c>
      <c r="N46" s="13" t="str">
        <f>HEX2BIN(MID($AB45,N$2,2),8)</f>
        <v>01001000</v>
      </c>
      <c r="O46" s="13" t="str">
        <f>HEX2BIN(MID($AB45,O$2,2),8)</f>
        <v>00000000</v>
      </c>
      <c r="P46" s="13" t="str">
        <f>HEX2BIN(MID($AB45,P$2,2),8)</f>
        <v>00000000</v>
      </c>
      <c r="Q46" s="13" t="str">
        <f>HEX2BIN(MID($AB45,Q$2,2),8)</f>
        <v>01000000</v>
      </c>
      <c r="R46" s="13" t="str">
        <f>HEX2BIN(MID($AB45,R$2,2),8)</f>
        <v>01111001</v>
      </c>
      <c r="S46" s="13" t="str">
        <f>HEX2BIN(MID($AB45,S$2,2),8)</f>
        <v>00000000</v>
      </c>
      <c r="T46" s="13" t="str">
        <f>HEX2BIN(MID($AB45,T$2,2),8)</f>
        <v>00000000</v>
      </c>
      <c r="U46" s="13" t="str">
        <f>HEX2BIN(MID($AB45,U$2,2),8)</f>
        <v>00000000</v>
      </c>
      <c r="V46" s="13" t="str">
        <f>HEX2BIN(MID($AB45,V$2,2),8)</f>
        <v>00010001</v>
      </c>
      <c r="W46" s="13" t="str">
        <f>HEX2BIN(MID($AB45,W$2,2),8)</f>
        <v>00000110</v>
      </c>
      <c r="X46" s="13" t="str">
        <f>HEX2BIN(MID($AB45,X$2,2),8)</f>
        <v>00000000</v>
      </c>
      <c r="Y46" s="13" t="str">
        <f>HEX2BIN(MID($AB45,Y$2,2),8)</f>
        <v>01001101</v>
      </c>
      <c r="Z46" s="4"/>
    </row>
    <row r="47" spans="3:28" x14ac:dyDescent="0.25">
      <c r="H47" s="12" t="str">
        <f>MID($AB47,H$2,2)</f>
        <v>23</v>
      </c>
      <c r="I47" s="12" t="str">
        <f>MID($AB47,I$2,2)</f>
        <v>CB</v>
      </c>
      <c r="J47" s="12" t="str">
        <f>MID($AB47,J$2,2)</f>
        <v>26</v>
      </c>
      <c r="K47" s="12" t="str">
        <f>MID($AB47,K$2,2)</f>
        <v>01</v>
      </c>
      <c r="L47" s="12" t="str">
        <f>MID($AB47,L$2,2)</f>
        <v>00</v>
      </c>
      <c r="M47" s="12" t="str">
        <f>MID($AB47,M$2,2)</f>
        <v>20</v>
      </c>
      <c r="N47" s="12" t="str">
        <f>MID($AB47,N$2,2)</f>
        <v>48</v>
      </c>
      <c r="O47" s="12" t="e">
        <f>_xlfn.BITAND(O$4,O48)</f>
        <v>#VALUE!</v>
      </c>
      <c r="P47" s="12" t="str">
        <f>MID($AB47,P$2,2)</f>
        <v>00</v>
      </c>
      <c r="Q47" s="12" t="str">
        <f>MID($AB47,Q$2,2)</f>
        <v>40</v>
      </c>
      <c r="R47" s="12" t="str">
        <f>MID($AB47,R$2,2)</f>
        <v>79</v>
      </c>
      <c r="S47" s="12" t="str">
        <f>MID($AB47,S$2,2)</f>
        <v>00</v>
      </c>
      <c r="T47" s="12" t="str">
        <f>MID($AB47,T$2,2)</f>
        <v>00</v>
      </c>
      <c r="U47" s="12" t="str">
        <f>MID($AB47,U$2,2)</f>
        <v>00</v>
      </c>
      <c r="V47" s="12" t="str">
        <f>MID($AB47,V$2,2)</f>
        <v>11</v>
      </c>
      <c r="W47" s="12" t="str">
        <f>MID($AB47,W$2,2)</f>
        <v>06</v>
      </c>
      <c r="X47" s="12" t="str">
        <f>MID($AB47,X$2,2)</f>
        <v>00</v>
      </c>
      <c r="Y47" s="12" t="str">
        <f>MID($AB47,Y$2,2)</f>
        <v>4E</v>
      </c>
      <c r="Z47" s="3"/>
      <c r="AA47" t="s">
        <v>45</v>
      </c>
      <c r="AB47" t="s">
        <v>14</v>
      </c>
    </row>
    <row r="48" spans="3:28" x14ac:dyDescent="0.25">
      <c r="H48" s="13" t="str">
        <f>HEX2BIN(MID($AB47,H$2,2),8)</f>
        <v>00100011</v>
      </c>
      <c r="I48" s="13" t="str">
        <f>HEX2BIN(MID($AB47,I$2,2),8)</f>
        <v>11001011</v>
      </c>
      <c r="J48" s="13" t="str">
        <f>HEX2BIN(MID($AB47,J$2,2),8)</f>
        <v>00100110</v>
      </c>
      <c r="K48" s="13" t="str">
        <f>HEX2BIN(MID($AB47,K$2,2),8)</f>
        <v>00000001</v>
      </c>
      <c r="L48" s="13" t="str">
        <f>HEX2BIN(MID($AB47,L$2,2),8)</f>
        <v>00000000</v>
      </c>
      <c r="M48" s="13" t="str">
        <f>HEX2BIN(MID($AB47,M$2,2),8)</f>
        <v>00100000</v>
      </c>
      <c r="N48" s="13" t="str">
        <f>HEX2BIN(MID($AB47,N$2,2),8)</f>
        <v>01001000</v>
      </c>
      <c r="O48" s="13" t="str">
        <f>HEX2BIN(MID($AB47,O$2,2),8)</f>
        <v>00000001</v>
      </c>
      <c r="P48" s="13" t="str">
        <f>HEX2BIN(MID($AB47,P$2,2),8)</f>
        <v>00000000</v>
      </c>
      <c r="Q48" s="13" t="str">
        <f>HEX2BIN(MID($AB47,Q$2,2),8)</f>
        <v>01000000</v>
      </c>
      <c r="R48" s="13" t="str">
        <f>HEX2BIN(MID($AB47,R$2,2),8)</f>
        <v>01111001</v>
      </c>
      <c r="S48" s="13" t="str">
        <f>HEX2BIN(MID($AB47,S$2,2),8)</f>
        <v>00000000</v>
      </c>
      <c r="T48" s="13" t="str">
        <f>HEX2BIN(MID($AB47,T$2,2),8)</f>
        <v>00000000</v>
      </c>
      <c r="U48" s="13" t="str">
        <f>HEX2BIN(MID($AB47,U$2,2),8)</f>
        <v>00000000</v>
      </c>
      <c r="V48" s="13" t="str">
        <f>HEX2BIN(MID($AB47,V$2,2),8)</f>
        <v>00010001</v>
      </c>
      <c r="W48" s="13" t="str">
        <f>HEX2BIN(MID($AB47,W$2,2),8)</f>
        <v>00000110</v>
      </c>
      <c r="X48" s="13" t="str">
        <f>HEX2BIN(MID($AB47,X$2,2),8)</f>
        <v>00000000</v>
      </c>
      <c r="Y48" s="13" t="str">
        <f>HEX2BIN(MID($AB47,Y$2,2),8)</f>
        <v>01001110</v>
      </c>
      <c r="Z48" s="4"/>
    </row>
    <row r="49" spans="3:28" x14ac:dyDescent="0.25">
      <c r="H49" s="12" t="str">
        <f>MID($AB49,H$2,2)</f>
        <v>23</v>
      </c>
      <c r="I49" s="12" t="str">
        <f>MID($AB49,I$2,2)</f>
        <v>CB</v>
      </c>
      <c r="J49" s="12" t="str">
        <f>MID($AB49,J$2,2)</f>
        <v>26</v>
      </c>
      <c r="K49" s="12" t="str">
        <f>MID($AB49,K$2,2)</f>
        <v>01</v>
      </c>
      <c r="L49" s="12" t="str">
        <f>MID($AB49,L$2,2)</f>
        <v>00</v>
      </c>
      <c r="M49" s="12" t="str">
        <f>MID($AB49,M$2,2)</f>
        <v>20</v>
      </c>
      <c r="N49" s="12" t="str">
        <f>MID($AB49,N$2,2)</f>
        <v>48</v>
      </c>
      <c r="O49" s="12" t="e">
        <f>_xlfn.BITAND(O$4,O50)</f>
        <v>#VALUE!</v>
      </c>
      <c r="P49" s="12" t="str">
        <f>MID($AB49,P$2,2)</f>
        <v>00</v>
      </c>
      <c r="Q49" s="12" t="str">
        <f>MID($AB49,Q$2,2)</f>
        <v>40</v>
      </c>
      <c r="R49" s="12" t="str">
        <f>MID($AB49,R$2,2)</f>
        <v>79</v>
      </c>
      <c r="S49" s="12" t="str">
        <f>MID($AB49,S$2,2)</f>
        <v>00</v>
      </c>
      <c r="T49" s="12" t="str">
        <f>MID($AB49,T$2,2)</f>
        <v>00</v>
      </c>
      <c r="U49" s="12" t="str">
        <f>MID($AB49,U$2,2)</f>
        <v>00</v>
      </c>
      <c r="V49" s="12" t="str">
        <f>MID($AB49,V$2,2)</f>
        <v>11</v>
      </c>
      <c r="W49" s="12" t="str">
        <f>MID($AB49,W$2,2)</f>
        <v>06</v>
      </c>
      <c r="X49" s="12" t="str">
        <f>MID($AB49,X$2,2)</f>
        <v>00</v>
      </c>
      <c r="Y49" s="12" t="str">
        <f>MID($AB49,Y$2,2)</f>
        <v>4F</v>
      </c>
      <c r="Z49" s="3"/>
      <c r="AA49" t="s">
        <v>46</v>
      </c>
      <c r="AB49" t="s">
        <v>15</v>
      </c>
    </row>
    <row r="50" spans="3:28" x14ac:dyDescent="0.25">
      <c r="H50" s="13" t="str">
        <f>HEX2BIN(MID($AB49,H$2,2),8)</f>
        <v>00100011</v>
      </c>
      <c r="I50" s="13" t="str">
        <f>HEX2BIN(MID($AB49,I$2,2),8)</f>
        <v>11001011</v>
      </c>
      <c r="J50" s="13" t="str">
        <f>HEX2BIN(MID($AB49,J$2,2),8)</f>
        <v>00100110</v>
      </c>
      <c r="K50" s="13" t="str">
        <f>HEX2BIN(MID($AB49,K$2,2),8)</f>
        <v>00000001</v>
      </c>
      <c r="L50" s="13" t="str">
        <f>HEX2BIN(MID($AB49,L$2,2),8)</f>
        <v>00000000</v>
      </c>
      <c r="M50" s="13" t="str">
        <f>HEX2BIN(MID($AB49,M$2,2),8)</f>
        <v>00100000</v>
      </c>
      <c r="N50" s="13" t="str">
        <f>HEX2BIN(MID($AB49,N$2,2),8)</f>
        <v>01001000</v>
      </c>
      <c r="O50" s="13" t="str">
        <f>HEX2BIN(MID($AB49,O$2,2),8)</f>
        <v>00000010</v>
      </c>
      <c r="P50" s="13" t="str">
        <f>HEX2BIN(MID($AB49,P$2,2),8)</f>
        <v>00000000</v>
      </c>
      <c r="Q50" s="13" t="str">
        <f>HEX2BIN(MID($AB49,Q$2,2),8)</f>
        <v>01000000</v>
      </c>
      <c r="R50" s="13" t="str">
        <f>HEX2BIN(MID($AB49,R$2,2),8)</f>
        <v>01111001</v>
      </c>
      <c r="S50" s="13" t="str">
        <f>HEX2BIN(MID($AB49,S$2,2),8)</f>
        <v>00000000</v>
      </c>
      <c r="T50" s="13" t="str">
        <f>HEX2BIN(MID($AB49,T$2,2),8)</f>
        <v>00000000</v>
      </c>
      <c r="U50" s="13" t="str">
        <f>HEX2BIN(MID($AB49,U$2,2),8)</f>
        <v>00000000</v>
      </c>
      <c r="V50" s="13" t="str">
        <f>HEX2BIN(MID($AB49,V$2,2),8)</f>
        <v>00010001</v>
      </c>
      <c r="W50" s="13" t="str">
        <f>HEX2BIN(MID($AB49,W$2,2),8)</f>
        <v>00000110</v>
      </c>
      <c r="X50" s="13" t="str">
        <f>HEX2BIN(MID($AB49,X$2,2),8)</f>
        <v>00000000</v>
      </c>
      <c r="Y50" s="13" t="str">
        <f>HEX2BIN(MID($AB49,Y$2,2),8)</f>
        <v>01001111</v>
      </c>
      <c r="Z50" s="4"/>
    </row>
    <row r="51" spans="3:28" x14ac:dyDescent="0.25">
      <c r="H51" s="12" t="str">
        <f>MID($AB51,H$2,2)</f>
        <v>23</v>
      </c>
      <c r="I51" s="12" t="str">
        <f>MID($AB51,I$2,2)</f>
        <v>CB</v>
      </c>
      <c r="J51" s="12" t="str">
        <f>MID($AB51,J$2,2)</f>
        <v>26</v>
      </c>
      <c r="K51" s="12" t="str">
        <f>MID($AB51,K$2,2)</f>
        <v>01</v>
      </c>
      <c r="L51" s="12" t="str">
        <f>MID($AB51,L$2,2)</f>
        <v>00</v>
      </c>
      <c r="M51" s="12" t="str">
        <f>MID($AB51,M$2,2)</f>
        <v>20</v>
      </c>
      <c r="N51" s="12" t="str">
        <f>MID($AB51,N$2,2)</f>
        <v>48</v>
      </c>
      <c r="O51" s="12" t="e">
        <f>_xlfn.BITAND(O$4,O52)</f>
        <v>#VALUE!</v>
      </c>
      <c r="P51" s="12" t="str">
        <f>MID($AB51,P$2,2)</f>
        <v>00</v>
      </c>
      <c r="Q51" s="12" t="str">
        <f>MID($AB51,Q$2,2)</f>
        <v>40</v>
      </c>
      <c r="R51" s="12" t="str">
        <f>MID($AB51,R$2,2)</f>
        <v>79</v>
      </c>
      <c r="S51" s="12" t="str">
        <f>MID($AB51,S$2,2)</f>
        <v>00</v>
      </c>
      <c r="T51" s="12" t="str">
        <f>MID($AB51,T$2,2)</f>
        <v>00</v>
      </c>
      <c r="U51" s="12" t="str">
        <f>MID($AB51,U$2,2)</f>
        <v>00</v>
      </c>
      <c r="V51" s="12" t="str">
        <f>MID($AB51,V$2,2)</f>
        <v>11</v>
      </c>
      <c r="W51" s="12" t="str">
        <f>MID($AB51,W$2,2)</f>
        <v>06</v>
      </c>
      <c r="X51" s="12" t="str">
        <f>MID($AB51,X$2,2)</f>
        <v>00</v>
      </c>
      <c r="Y51" s="12" t="str">
        <f>MID($AB51,Y$2,2)</f>
        <v>4E</v>
      </c>
      <c r="Z51" s="3"/>
      <c r="AA51" t="s">
        <v>45</v>
      </c>
      <c r="AB51" t="s">
        <v>16</v>
      </c>
    </row>
    <row r="52" spans="3:28" x14ac:dyDescent="0.25">
      <c r="H52" s="13" t="str">
        <f>HEX2BIN(MID($AB51,H$2,2),8)</f>
        <v>00100011</v>
      </c>
      <c r="I52" s="13" t="str">
        <f>HEX2BIN(MID($AB51,I$2,2),8)</f>
        <v>11001011</v>
      </c>
      <c r="J52" s="13" t="str">
        <f>HEX2BIN(MID($AB51,J$2,2),8)</f>
        <v>00100110</v>
      </c>
      <c r="K52" s="13" t="str">
        <f>HEX2BIN(MID($AB51,K$2,2),8)</f>
        <v>00000001</v>
      </c>
      <c r="L52" s="13" t="str">
        <f>HEX2BIN(MID($AB51,L$2,2),8)</f>
        <v>00000000</v>
      </c>
      <c r="M52" s="13" t="str">
        <f>HEX2BIN(MID($AB51,M$2,2),8)</f>
        <v>00100000</v>
      </c>
      <c r="N52" s="13" t="str">
        <f>HEX2BIN(MID($AB51,N$2,2),8)</f>
        <v>01001000</v>
      </c>
      <c r="O52" s="13" t="str">
        <f>HEX2BIN(MID($AB51,O$2,2),8)</f>
        <v>00000001</v>
      </c>
      <c r="P52" s="13" t="str">
        <f>HEX2BIN(MID($AB51,P$2,2),8)</f>
        <v>00000000</v>
      </c>
      <c r="Q52" s="13" t="str">
        <f>HEX2BIN(MID($AB51,Q$2,2),8)</f>
        <v>01000000</v>
      </c>
      <c r="R52" s="13" t="str">
        <f>HEX2BIN(MID($AB51,R$2,2),8)</f>
        <v>01111001</v>
      </c>
      <c r="S52" s="13" t="str">
        <f>HEX2BIN(MID($AB51,S$2,2),8)</f>
        <v>00000000</v>
      </c>
      <c r="T52" s="13" t="str">
        <f>HEX2BIN(MID($AB51,T$2,2),8)</f>
        <v>00000000</v>
      </c>
      <c r="U52" s="13" t="str">
        <f>HEX2BIN(MID($AB51,U$2,2),8)</f>
        <v>00000000</v>
      </c>
      <c r="V52" s="13" t="str">
        <f>HEX2BIN(MID($AB51,V$2,2),8)</f>
        <v>00010001</v>
      </c>
      <c r="W52" s="13" t="str">
        <f>HEX2BIN(MID($AB51,W$2,2),8)</f>
        <v>00000110</v>
      </c>
      <c r="X52" s="13" t="str">
        <f>HEX2BIN(MID($AB51,X$2,2),8)</f>
        <v>00000000</v>
      </c>
      <c r="Y52" s="13" t="str">
        <f>HEX2BIN(MID($AB51,Y$2,2),8)</f>
        <v>01001110</v>
      </c>
      <c r="Z52" s="4"/>
    </row>
    <row r="53" spans="3:28" x14ac:dyDescent="0.25">
      <c r="H53" s="12" t="str">
        <f>MID($AB53,H$2,2)</f>
        <v>23</v>
      </c>
      <c r="I53" s="12" t="str">
        <f>MID($AB53,I$2,2)</f>
        <v>CB</v>
      </c>
      <c r="J53" s="12" t="str">
        <f>MID($AB53,J$2,2)</f>
        <v>26</v>
      </c>
      <c r="K53" s="12" t="str">
        <f>MID($AB53,K$2,2)</f>
        <v>01</v>
      </c>
      <c r="L53" s="12" t="str">
        <f>MID($AB53,L$2,2)</f>
        <v>00</v>
      </c>
      <c r="M53" s="12" t="str">
        <f>MID($AB53,M$2,2)</f>
        <v>20</v>
      </c>
      <c r="N53" s="12" t="str">
        <f>MID($AB53,N$2,2)</f>
        <v>48</v>
      </c>
      <c r="O53" s="12" t="e">
        <f>_xlfn.BITAND(O$4,O54)</f>
        <v>#VALUE!</v>
      </c>
      <c r="P53" s="12" t="str">
        <f>MID($AB53,P$2,2)</f>
        <v>00</v>
      </c>
      <c r="Q53" s="12" t="str">
        <f>MID($AB53,Q$2,2)</f>
        <v>40</v>
      </c>
      <c r="R53" s="12" t="str">
        <f>MID($AB53,R$2,2)</f>
        <v>79</v>
      </c>
      <c r="S53" s="12" t="str">
        <f>MID($AB53,S$2,2)</f>
        <v>00</v>
      </c>
      <c r="T53" s="12" t="str">
        <f>MID($AB53,T$2,2)</f>
        <v>00</v>
      </c>
      <c r="U53" s="12" t="str">
        <f>MID($AB53,U$2,2)</f>
        <v>00</v>
      </c>
      <c r="V53" s="12" t="str">
        <f>MID($AB53,V$2,2)</f>
        <v>11</v>
      </c>
      <c r="W53" s="12" t="str">
        <f>MID($AB53,W$2,2)</f>
        <v>06</v>
      </c>
      <c r="X53" s="12" t="str">
        <f>MID($AB53,X$2,2)</f>
        <v>00</v>
      </c>
      <c r="Y53" s="12" t="str">
        <f>MID($AB53,Y$2,2)</f>
        <v>4D</v>
      </c>
      <c r="Z53" s="3"/>
      <c r="AA53" t="s">
        <v>44</v>
      </c>
      <c r="AB53" t="s">
        <v>13</v>
      </c>
    </row>
    <row r="54" spans="3:28" x14ac:dyDescent="0.25">
      <c r="H54" s="13" t="str">
        <f>HEX2BIN(MID($AB53,H$2,2),8)</f>
        <v>00100011</v>
      </c>
      <c r="I54" s="13" t="str">
        <f>HEX2BIN(MID($AB53,I$2,2),8)</f>
        <v>11001011</v>
      </c>
      <c r="J54" s="13" t="str">
        <f>HEX2BIN(MID($AB53,J$2,2),8)</f>
        <v>00100110</v>
      </c>
      <c r="K54" s="13" t="str">
        <f>HEX2BIN(MID($AB53,K$2,2),8)</f>
        <v>00000001</v>
      </c>
      <c r="L54" s="13" t="str">
        <f>HEX2BIN(MID($AB53,L$2,2),8)</f>
        <v>00000000</v>
      </c>
      <c r="M54" s="13" t="str">
        <f>HEX2BIN(MID($AB53,M$2,2),8)</f>
        <v>00100000</v>
      </c>
      <c r="N54" s="13" t="str">
        <f>HEX2BIN(MID($AB53,N$2,2),8)</f>
        <v>01001000</v>
      </c>
      <c r="O54" s="13" t="str">
        <f>HEX2BIN(MID($AB53,O$2,2),8)</f>
        <v>00000000</v>
      </c>
      <c r="P54" s="13" t="str">
        <f>HEX2BIN(MID($AB53,P$2,2),8)</f>
        <v>00000000</v>
      </c>
      <c r="Q54" s="13" t="str">
        <f>HEX2BIN(MID($AB53,Q$2,2),8)</f>
        <v>01000000</v>
      </c>
      <c r="R54" s="13" t="str">
        <f>HEX2BIN(MID($AB53,R$2,2),8)</f>
        <v>01111001</v>
      </c>
      <c r="S54" s="13" t="str">
        <f>HEX2BIN(MID($AB53,S$2,2),8)</f>
        <v>00000000</v>
      </c>
      <c r="T54" s="13" t="str">
        <f>HEX2BIN(MID($AB53,T$2,2),8)</f>
        <v>00000000</v>
      </c>
      <c r="U54" s="13" t="str">
        <f>HEX2BIN(MID($AB53,U$2,2),8)</f>
        <v>00000000</v>
      </c>
      <c r="V54" s="13" t="str">
        <f>HEX2BIN(MID($AB53,V$2,2),8)</f>
        <v>00010001</v>
      </c>
      <c r="W54" s="13" t="str">
        <f>HEX2BIN(MID($AB53,W$2,2),8)</f>
        <v>00000110</v>
      </c>
      <c r="X54" s="13" t="str">
        <f>HEX2BIN(MID($AB53,X$2,2),8)</f>
        <v>00000000</v>
      </c>
      <c r="Y54" s="13" t="str">
        <f>HEX2BIN(MID($AB53,Y$2,2),8)</f>
        <v>01001101</v>
      </c>
      <c r="Z54" s="4"/>
    </row>
    <row r="55" spans="3:28" x14ac:dyDescent="0.25">
      <c r="H55" s="12" t="str">
        <f>MID($AB55,H$2,2)</f>
        <v>23</v>
      </c>
      <c r="I55" s="12" t="str">
        <f>MID($AB55,I$2,2)</f>
        <v>CB</v>
      </c>
      <c r="J55" s="12" t="str">
        <f>MID($AB55,J$2,2)</f>
        <v>26</v>
      </c>
      <c r="K55" s="12" t="str">
        <f>MID($AB55,K$2,2)</f>
        <v>01</v>
      </c>
      <c r="L55" s="12" t="str">
        <f>MID($AB55,L$2,2)</f>
        <v>00</v>
      </c>
      <c r="M55" s="12" t="str">
        <f>MID($AB55,M$2,2)</f>
        <v>20</v>
      </c>
      <c r="N55" s="12" t="str">
        <f>MID($AB55,N$2,2)</f>
        <v>48</v>
      </c>
      <c r="O55" s="12" t="str">
        <f>MID($AB55,O$2,2)</f>
        <v>00</v>
      </c>
      <c r="P55" s="12" t="str">
        <f>MID($AB55,P$2,2)</f>
        <v>00</v>
      </c>
      <c r="Q55" s="12" t="str">
        <f>MID($AB55,Q$2,2)</f>
        <v>80</v>
      </c>
      <c r="R55" s="12" t="str">
        <f>MID($AB55,R$2,2)</f>
        <v>79</v>
      </c>
      <c r="S55" s="12" t="str">
        <f>MID($AB55,S$2,2)</f>
        <v>00</v>
      </c>
      <c r="T55" s="12" t="str">
        <f>MID($AB55,T$2,2)</f>
        <v>00</v>
      </c>
      <c r="U55" s="12" t="str">
        <f>MID($AB55,U$2,2)</f>
        <v>00</v>
      </c>
      <c r="V55" s="12" t="str">
        <f>MID($AB55,V$2,2)</f>
        <v>11</v>
      </c>
      <c r="W55" s="12" t="str">
        <f>MID($AB55,W$2,2)</f>
        <v>26</v>
      </c>
      <c r="X55" s="12" t="str">
        <f>MID($AB55,X$2,2)</f>
        <v>00</v>
      </c>
      <c r="Y55" s="12" t="str">
        <f>MID($AB55,Y$2,2)</f>
        <v>AD</v>
      </c>
      <c r="Z55" s="3"/>
      <c r="AA55" t="s">
        <v>36</v>
      </c>
      <c r="AB55" t="s">
        <v>17</v>
      </c>
    </row>
    <row r="56" spans="3:28" x14ac:dyDescent="0.25">
      <c r="H56" s="13" t="str">
        <f>HEX2BIN(MID($AB55,H$2,2),8)</f>
        <v>00100011</v>
      </c>
      <c r="I56" s="13" t="str">
        <f>HEX2BIN(MID($AB55,I$2,2),8)</f>
        <v>11001011</v>
      </c>
      <c r="J56" s="13" t="str">
        <f>HEX2BIN(MID($AB55,J$2,2),8)</f>
        <v>00100110</v>
      </c>
      <c r="K56" s="13" t="str">
        <f>HEX2BIN(MID($AB55,K$2,2),8)</f>
        <v>00000001</v>
      </c>
      <c r="L56" s="13" t="str">
        <f>HEX2BIN(MID($AB55,L$2,2),8)</f>
        <v>00000000</v>
      </c>
      <c r="M56" s="13" t="str">
        <f>HEX2BIN(MID($AB55,M$2,2),8)</f>
        <v>00100000</v>
      </c>
      <c r="N56" s="13" t="str">
        <f>HEX2BIN(MID($AB55,N$2,2),8)</f>
        <v>01001000</v>
      </c>
      <c r="O56" s="13" t="str">
        <f>HEX2BIN(MID($AB55,O$2,2),8)</f>
        <v>00000000</v>
      </c>
      <c r="P56" s="13" t="str">
        <f>HEX2BIN(MID($AB55,P$2,2),8)</f>
        <v>00000000</v>
      </c>
      <c r="Q56" s="13" t="str">
        <f>HEX2BIN(MID($AB55,Q$2,2),8)</f>
        <v>10000000</v>
      </c>
      <c r="R56" s="13" t="str">
        <f>HEX2BIN(MID($AB55,R$2,2),8)</f>
        <v>01111001</v>
      </c>
      <c r="S56" s="13" t="str">
        <f>HEX2BIN(MID($AB55,S$2,2),8)</f>
        <v>00000000</v>
      </c>
      <c r="T56" s="13" t="str">
        <f>HEX2BIN(MID($AB55,T$2,2),8)</f>
        <v>00000000</v>
      </c>
      <c r="U56" s="13" t="str">
        <f>HEX2BIN(MID($AB55,U$2,2),8)</f>
        <v>00000000</v>
      </c>
      <c r="V56" s="13" t="str">
        <f>HEX2BIN(MID($AB55,V$2,2),8)</f>
        <v>00010001</v>
      </c>
      <c r="W56" s="13" t="str">
        <f>HEX2BIN(MID($AB55,W$2,2),8)</f>
        <v>00100110</v>
      </c>
      <c r="X56" s="13" t="str">
        <f>HEX2BIN(MID($AB55,X$2,2),8)</f>
        <v>00000000</v>
      </c>
      <c r="Y56" s="13" t="str">
        <f>HEX2BIN(MID($AB55,Y$2,2),8)</f>
        <v>10101101</v>
      </c>
      <c r="Z56" s="4"/>
    </row>
    <row r="57" spans="3:28" x14ac:dyDescent="0.25">
      <c r="C57" t="s">
        <v>50</v>
      </c>
      <c r="H57" s="10" t="str">
        <f>MID($AB57,H$2,2)</f>
        <v>23</v>
      </c>
      <c r="I57" s="10" t="str">
        <f>MID($AB57,I$2,2)</f>
        <v>CB</v>
      </c>
      <c r="J57" s="10" t="str">
        <f>MID($AB57,J$2,2)</f>
        <v>26</v>
      </c>
      <c r="K57" s="10" t="str">
        <f>MID($AB57,K$2,2)</f>
        <v>01</v>
      </c>
      <c r="L57" s="10" t="str">
        <f>MID($AB57,L$2,2)</f>
        <v>00</v>
      </c>
      <c r="M57" s="10" t="str">
        <f>MID($AB57,M$2,2)</f>
        <v>00</v>
      </c>
      <c r="N57" s="10" t="str">
        <f>MID($AB57,N$2,2)</f>
        <v>48</v>
      </c>
      <c r="O57" s="10" t="str">
        <f>MID($AB57,O$2,2)</f>
        <v>00</v>
      </c>
      <c r="P57" s="10" t="str">
        <f>MID($AB57,P$2,2)</f>
        <v>00</v>
      </c>
      <c r="Q57" s="10" t="str">
        <f>MID($AB57,Q$2,2)</f>
        <v>40</v>
      </c>
      <c r="R57" s="10" t="str">
        <f>MID($AB57,R$2,2)</f>
        <v>7A</v>
      </c>
      <c r="S57" s="10" t="str">
        <f>MID($AB57,S$2,2)</f>
        <v>00</v>
      </c>
      <c r="T57" s="10" t="str">
        <f>MID($AB57,T$2,2)</f>
        <v>00</v>
      </c>
      <c r="U57" s="10" t="str">
        <f>MID($AB57,U$2,2)</f>
        <v>00</v>
      </c>
      <c r="V57" s="10" t="str">
        <f>MID($AB57,V$2,2)</f>
        <v>11</v>
      </c>
      <c r="W57" s="10" t="str">
        <f>MID($AB57,W$2,2)</f>
        <v>26</v>
      </c>
      <c r="X57" s="10" t="str">
        <f>MID($AB57,X$2,2)</f>
        <v>00</v>
      </c>
      <c r="Y57" s="10" t="str">
        <f>MID($AB57,Y$2,2)</f>
        <v>4E</v>
      </c>
      <c r="Z57" s="3"/>
      <c r="AA57" s="7" t="s">
        <v>22</v>
      </c>
      <c r="AB57" t="s">
        <v>23</v>
      </c>
    </row>
    <row r="58" spans="3:28" x14ac:dyDescent="0.25">
      <c r="H58" s="11" t="str">
        <f>HEX2BIN(MID($AB57,H$2,2),8)</f>
        <v>00100011</v>
      </c>
      <c r="I58" s="11" t="str">
        <f>HEX2BIN(MID($AB57,I$2,2),8)</f>
        <v>11001011</v>
      </c>
      <c r="J58" s="11" t="str">
        <f>HEX2BIN(MID($AB57,J$2,2),8)</f>
        <v>00100110</v>
      </c>
      <c r="K58" s="11" t="str">
        <f>HEX2BIN(MID($AB57,K$2,2),8)</f>
        <v>00000001</v>
      </c>
      <c r="L58" s="11" t="str">
        <f>HEX2BIN(MID($AB57,L$2,2),8)</f>
        <v>00000000</v>
      </c>
      <c r="M58" s="11" t="str">
        <f>HEX2BIN(MID($AB57,M$2,2),8)</f>
        <v>00000000</v>
      </c>
      <c r="N58" s="11" t="str">
        <f>HEX2BIN(MID($AB57,N$2,2),8)</f>
        <v>01001000</v>
      </c>
      <c r="O58" s="11" t="str">
        <f>HEX2BIN(MID($AB57,O$2,2),8)</f>
        <v>00000000</v>
      </c>
      <c r="P58" s="11" t="str">
        <f>HEX2BIN(MID($AB57,P$2,2),8)</f>
        <v>00000000</v>
      </c>
      <c r="Q58" s="11" t="str">
        <f>HEX2BIN(MID($AB57,Q$2,2),8)</f>
        <v>01000000</v>
      </c>
      <c r="R58" s="11" t="str">
        <f>HEX2BIN(MID($AB57,R$2,2),8)</f>
        <v>01111010</v>
      </c>
      <c r="S58" s="11" t="str">
        <f>HEX2BIN(MID($AB57,S$2,2),8)</f>
        <v>00000000</v>
      </c>
      <c r="T58" s="11" t="str">
        <f>HEX2BIN(MID($AB57,T$2,2),8)</f>
        <v>00000000</v>
      </c>
      <c r="U58" s="11" t="str">
        <f>HEX2BIN(MID($AB57,U$2,2),8)</f>
        <v>00000000</v>
      </c>
      <c r="V58" s="11" t="str">
        <f>HEX2BIN(MID($AB57,V$2,2),8)</f>
        <v>00010001</v>
      </c>
      <c r="W58" s="11" t="str">
        <f>HEX2BIN(MID($AB57,W$2,2),8)</f>
        <v>00100110</v>
      </c>
      <c r="X58" s="11" t="str">
        <f>HEX2BIN(MID($AB57,X$2,2),8)</f>
        <v>00000000</v>
      </c>
      <c r="Y58" s="11" t="str">
        <f>HEX2BIN(MID($AB57,Y$2,2),8)</f>
        <v>01001110</v>
      </c>
      <c r="Z58" s="4"/>
    </row>
    <row r="59" spans="3:28" x14ac:dyDescent="0.25">
      <c r="H59" s="10" t="str">
        <f>MID($AB59,H$2,2)</f>
        <v>23</v>
      </c>
      <c r="I59" s="10" t="str">
        <f>MID($AB59,I$2,2)</f>
        <v>CB</v>
      </c>
      <c r="J59" s="10" t="str">
        <f>MID($AB59,J$2,2)</f>
        <v>26</v>
      </c>
      <c r="K59" s="10" t="str">
        <f>MID($AB59,K$2,2)</f>
        <v>01</v>
      </c>
      <c r="L59" s="10" t="str">
        <f>MID($AB59,L$2,2)</f>
        <v>00</v>
      </c>
      <c r="M59" s="10" t="str">
        <f>MID($AB59,M$2,2)</f>
        <v>20</v>
      </c>
      <c r="N59" s="10" t="str">
        <f>MID($AB59,N$2,2)</f>
        <v>48</v>
      </c>
      <c r="O59" s="10" t="str">
        <f>MID($AB59,O$2,2)</f>
        <v>00</v>
      </c>
      <c r="P59" s="10" t="str">
        <f>MID($AB59,P$2,2)</f>
        <v>00</v>
      </c>
      <c r="Q59" s="10" t="str">
        <f>MID($AB59,Q$2,2)</f>
        <v>40</v>
      </c>
      <c r="R59" s="10" t="str">
        <f>MID($AB59,R$2,2)</f>
        <v>7A</v>
      </c>
      <c r="S59" s="10" t="str">
        <f>MID($AB59,S$2,2)</f>
        <v>00</v>
      </c>
      <c r="T59" s="10" t="str">
        <f>MID($AB59,T$2,2)</f>
        <v>00</v>
      </c>
      <c r="U59" s="10" t="str">
        <f>MID($AB59,U$2,2)</f>
        <v>00</v>
      </c>
      <c r="V59" s="10" t="str">
        <f>MID($AB59,V$2,2)</f>
        <v>11</v>
      </c>
      <c r="W59" s="10" t="str">
        <f>MID($AB59,W$2,2)</f>
        <v>26</v>
      </c>
      <c r="X59" s="10" t="str">
        <f>MID($AB59,X$2,2)</f>
        <v>00</v>
      </c>
      <c r="Y59" s="10" t="str">
        <f>MID($AB59,Y$2,2)</f>
        <v>6E</v>
      </c>
      <c r="Z59" s="3"/>
      <c r="AA59" s="7" t="s">
        <v>21</v>
      </c>
      <c r="AB59" t="s">
        <v>24</v>
      </c>
    </row>
    <row r="60" spans="3:28" x14ac:dyDescent="0.25">
      <c r="H60" s="11" t="str">
        <f>HEX2BIN(MID($AB59,H$2,2),8)</f>
        <v>00100011</v>
      </c>
      <c r="I60" s="11" t="str">
        <f>HEX2BIN(MID($AB59,I$2,2),8)</f>
        <v>11001011</v>
      </c>
      <c r="J60" s="11" t="str">
        <f>HEX2BIN(MID($AB59,J$2,2),8)</f>
        <v>00100110</v>
      </c>
      <c r="K60" s="11" t="str">
        <f>HEX2BIN(MID($AB59,K$2,2),8)</f>
        <v>00000001</v>
      </c>
      <c r="L60" s="11" t="str">
        <f>HEX2BIN(MID($AB59,L$2,2),8)</f>
        <v>00000000</v>
      </c>
      <c r="M60" s="11" t="str">
        <f>HEX2BIN(MID($AB59,M$2,2),8)</f>
        <v>00100000</v>
      </c>
      <c r="N60" s="11" t="str">
        <f>HEX2BIN(MID($AB59,N$2,2),8)</f>
        <v>01001000</v>
      </c>
      <c r="O60" s="11" t="str">
        <f>HEX2BIN(MID($AB59,O$2,2),8)</f>
        <v>00000000</v>
      </c>
      <c r="P60" s="11" t="str">
        <f>HEX2BIN(MID($AB59,P$2,2),8)</f>
        <v>00000000</v>
      </c>
      <c r="Q60" s="11" t="str">
        <f>HEX2BIN(MID($AB59,Q$2,2),8)</f>
        <v>01000000</v>
      </c>
      <c r="R60" s="11" t="str">
        <f>HEX2BIN(MID($AB59,R$2,2),8)</f>
        <v>01111010</v>
      </c>
      <c r="S60" s="11" t="str">
        <f>HEX2BIN(MID($AB59,S$2,2),8)</f>
        <v>00000000</v>
      </c>
      <c r="T60" s="11" t="str">
        <f>HEX2BIN(MID($AB59,T$2,2),8)</f>
        <v>00000000</v>
      </c>
      <c r="U60" s="11" t="str">
        <f>HEX2BIN(MID($AB59,U$2,2),8)</f>
        <v>00000000</v>
      </c>
      <c r="V60" s="11" t="str">
        <f>HEX2BIN(MID($AB59,V$2,2),8)</f>
        <v>00010001</v>
      </c>
      <c r="W60" s="11" t="str">
        <f>HEX2BIN(MID($AB59,W$2,2),8)</f>
        <v>00100110</v>
      </c>
      <c r="X60" s="11" t="str">
        <f>HEX2BIN(MID($AB59,X$2,2),8)</f>
        <v>00000000</v>
      </c>
      <c r="Y60" s="11" t="str">
        <f>HEX2BIN(MID($AB59,Y$2,2),8)</f>
        <v>01101110</v>
      </c>
      <c r="Z60" s="4"/>
    </row>
    <row r="61" spans="3:28" x14ac:dyDescent="0.25">
      <c r="H61" s="10" t="str">
        <f>MID($AB61,H$2,2)</f>
        <v>23</v>
      </c>
      <c r="I61" s="10" t="str">
        <f>MID($AB61,I$2,2)</f>
        <v>CB</v>
      </c>
      <c r="J61" s="10" t="str">
        <f>MID($AB61,J$2,2)</f>
        <v>26</v>
      </c>
      <c r="K61" s="10" t="str">
        <f>MID($AB61,K$2,2)</f>
        <v>01</v>
      </c>
      <c r="L61" s="10" t="str">
        <f>MID($AB61,L$2,2)</f>
        <v>00</v>
      </c>
      <c r="M61" s="10" t="str">
        <f>MID($AB61,M$2,2)</f>
        <v>00</v>
      </c>
      <c r="N61" s="10" t="str">
        <f>MID($AB61,N$2,2)</f>
        <v>48</v>
      </c>
      <c r="O61" s="10" t="str">
        <f>MID($AB61,O$2,2)</f>
        <v>00</v>
      </c>
      <c r="P61" s="10" t="str">
        <f>MID($AB61,P$2,2)</f>
        <v>00</v>
      </c>
      <c r="Q61" s="10" t="str">
        <f>MID($AB61,Q$2,2)</f>
        <v>40</v>
      </c>
      <c r="R61" s="10" t="str">
        <f>MID($AB61,R$2,2)</f>
        <v>7A</v>
      </c>
      <c r="S61" s="10" t="str">
        <f>MID($AB61,S$2,2)</f>
        <v>00</v>
      </c>
      <c r="T61" s="10" t="str">
        <f>MID($AB61,T$2,2)</f>
        <v>00</v>
      </c>
      <c r="U61" s="10" t="str">
        <f>MID($AB61,U$2,2)</f>
        <v>00</v>
      </c>
      <c r="V61" s="10" t="str">
        <f>MID($AB61,V$2,2)</f>
        <v>11</v>
      </c>
      <c r="W61" s="10" t="str">
        <f>MID($AB61,W$2,2)</f>
        <v>26</v>
      </c>
      <c r="X61" s="10" t="str">
        <f>MID($AB61,X$2,2)</f>
        <v>00</v>
      </c>
      <c r="Y61" s="10" t="str">
        <f>MID($AB61,Y$2,2)</f>
        <v>4E</v>
      </c>
      <c r="Z61" s="3"/>
      <c r="AA61" s="7" t="s">
        <v>20</v>
      </c>
      <c r="AB61" t="s">
        <v>23</v>
      </c>
    </row>
    <row r="62" spans="3:28" x14ac:dyDescent="0.25">
      <c r="H62" s="11" t="str">
        <f>HEX2BIN(MID($AB61,H$2,2),8)</f>
        <v>00100011</v>
      </c>
      <c r="I62" s="11" t="str">
        <f>HEX2BIN(MID($AB61,I$2,2),8)</f>
        <v>11001011</v>
      </c>
      <c r="J62" s="11" t="str">
        <f>HEX2BIN(MID($AB61,J$2,2),8)</f>
        <v>00100110</v>
      </c>
      <c r="K62" s="11" t="str">
        <f>HEX2BIN(MID($AB61,K$2,2),8)</f>
        <v>00000001</v>
      </c>
      <c r="L62" s="11" t="str">
        <f>HEX2BIN(MID($AB61,L$2,2),8)</f>
        <v>00000000</v>
      </c>
      <c r="M62" s="11" t="str">
        <f>HEX2BIN(MID($AB61,M$2,2),8)</f>
        <v>00000000</v>
      </c>
      <c r="N62" s="11" t="str">
        <f>HEX2BIN(MID($AB61,N$2,2),8)</f>
        <v>01001000</v>
      </c>
      <c r="O62" s="11" t="str">
        <f>HEX2BIN(MID($AB61,O$2,2),8)</f>
        <v>00000000</v>
      </c>
      <c r="P62" s="11" t="str">
        <f>HEX2BIN(MID($AB61,P$2,2),8)</f>
        <v>00000000</v>
      </c>
      <c r="Q62" s="11" t="str">
        <f>HEX2BIN(MID($AB61,Q$2,2),8)</f>
        <v>01000000</v>
      </c>
      <c r="R62" s="11" t="str">
        <f>HEX2BIN(MID($AB61,R$2,2),8)</f>
        <v>01111010</v>
      </c>
      <c r="S62" s="11" t="str">
        <f>HEX2BIN(MID($AB61,S$2,2),8)</f>
        <v>00000000</v>
      </c>
      <c r="T62" s="11" t="str">
        <f>HEX2BIN(MID($AB61,T$2,2),8)</f>
        <v>00000000</v>
      </c>
      <c r="U62" s="11" t="str">
        <f>HEX2BIN(MID($AB61,U$2,2),8)</f>
        <v>00000000</v>
      </c>
      <c r="V62" s="11" t="str">
        <f>HEX2BIN(MID($AB61,V$2,2),8)</f>
        <v>00010001</v>
      </c>
      <c r="W62" s="11" t="str">
        <f>HEX2BIN(MID($AB61,W$2,2),8)</f>
        <v>00100110</v>
      </c>
      <c r="X62" s="11" t="str">
        <f>HEX2BIN(MID($AB61,X$2,2),8)</f>
        <v>00000000</v>
      </c>
      <c r="Y62" s="11" t="str">
        <f>HEX2BIN(MID($AB61,Y$2,2),8)</f>
        <v>01001110</v>
      </c>
      <c r="Z62" s="4"/>
    </row>
    <row r="63" spans="3:28" x14ac:dyDescent="0.25">
      <c r="H63" s="10" t="str">
        <f>MID($AB63,H$2,2)</f>
        <v>23</v>
      </c>
      <c r="I63" s="10" t="str">
        <f>MID($AB63,I$2,2)</f>
        <v>CB</v>
      </c>
      <c r="J63" s="10" t="str">
        <f>MID($AB63,J$2,2)</f>
        <v>26</v>
      </c>
      <c r="K63" s="10" t="str">
        <f>MID($AB63,K$2,2)</f>
        <v>01</v>
      </c>
      <c r="L63" s="10" t="str">
        <f>MID($AB63,L$2,2)</f>
        <v>00</v>
      </c>
      <c r="M63" s="10" t="str">
        <f>MID($AB63,M$2,2)</f>
        <v>20</v>
      </c>
      <c r="N63" s="10" t="str">
        <f>MID($AB63,N$2,2)</f>
        <v>48</v>
      </c>
      <c r="O63" s="10" t="str">
        <f>MID($AB63,O$2,2)</f>
        <v>00</v>
      </c>
      <c r="P63" s="10" t="str">
        <f>MID($AB63,P$2,2)</f>
        <v>00</v>
      </c>
      <c r="Q63" s="10" t="str">
        <f>MID($AB63,Q$2,2)</f>
        <v>40</v>
      </c>
      <c r="R63" s="10" t="str">
        <f>MID($AB63,R$2,2)</f>
        <v>7A</v>
      </c>
      <c r="S63" s="10" t="str">
        <f>MID($AB63,S$2,2)</f>
        <v>00</v>
      </c>
      <c r="T63" s="10" t="str">
        <f>MID($AB63,T$2,2)</f>
        <v>00</v>
      </c>
      <c r="U63" s="10" t="str">
        <f>MID($AB63,U$2,2)</f>
        <v>00</v>
      </c>
      <c r="V63" s="10" t="str">
        <f>MID($AB63,V$2,2)</f>
        <v>11</v>
      </c>
      <c r="W63" s="10" t="str">
        <f>MID($AB63,W$2,2)</f>
        <v>26</v>
      </c>
      <c r="X63" s="10" t="str">
        <f>MID($AB63,X$2,2)</f>
        <v>00</v>
      </c>
      <c r="Y63" s="10" t="str">
        <f>MID($AB63,Y$2,2)</f>
        <v>6E</v>
      </c>
      <c r="Z63" s="3"/>
      <c r="AA63" s="7" t="s">
        <v>19</v>
      </c>
      <c r="AB63" t="s">
        <v>25</v>
      </c>
    </row>
    <row r="64" spans="3:28" x14ac:dyDescent="0.25">
      <c r="H64" s="11" t="str">
        <f>HEX2BIN(MID($AB63,H$2,2),8)</f>
        <v>00100011</v>
      </c>
      <c r="I64" s="11" t="str">
        <f>HEX2BIN(MID($AB63,I$2,2),8)</f>
        <v>11001011</v>
      </c>
      <c r="J64" s="11" t="str">
        <f>HEX2BIN(MID($AB63,J$2,2),8)</f>
        <v>00100110</v>
      </c>
      <c r="K64" s="11" t="str">
        <f>HEX2BIN(MID($AB63,K$2,2),8)</f>
        <v>00000001</v>
      </c>
      <c r="L64" s="11" t="str">
        <f>HEX2BIN(MID($AB63,L$2,2),8)</f>
        <v>00000000</v>
      </c>
      <c r="M64" s="11" t="str">
        <f>HEX2BIN(MID($AB63,M$2,2),8)</f>
        <v>00100000</v>
      </c>
      <c r="N64" s="11" t="str">
        <f>HEX2BIN(MID($AB63,N$2,2),8)</f>
        <v>01001000</v>
      </c>
      <c r="O64" s="11" t="str">
        <f>HEX2BIN(MID($AB63,O$2,2),8)</f>
        <v>00000000</v>
      </c>
      <c r="P64" s="11" t="str">
        <f>HEX2BIN(MID($AB63,P$2,2),8)</f>
        <v>00000000</v>
      </c>
      <c r="Q64" s="11" t="str">
        <f>HEX2BIN(MID($AB63,Q$2,2),8)</f>
        <v>01000000</v>
      </c>
      <c r="R64" s="11" t="str">
        <f>HEX2BIN(MID($AB63,R$2,2),8)</f>
        <v>01111010</v>
      </c>
      <c r="S64" s="11" t="str">
        <f>HEX2BIN(MID($AB63,S$2,2),8)</f>
        <v>00000000</v>
      </c>
      <c r="T64" s="11" t="str">
        <f>HEX2BIN(MID($AB63,T$2,2),8)</f>
        <v>00000000</v>
      </c>
      <c r="U64" s="11" t="str">
        <f>HEX2BIN(MID($AB63,U$2,2),8)</f>
        <v>00000000</v>
      </c>
      <c r="V64" s="11" t="str">
        <f>HEX2BIN(MID($AB63,V$2,2),8)</f>
        <v>00010001</v>
      </c>
      <c r="W64" s="11" t="str">
        <f>HEX2BIN(MID($AB63,W$2,2),8)</f>
        <v>00100110</v>
      </c>
      <c r="X64" s="11" t="str">
        <f>HEX2BIN(MID($AB63,X$2,2),8)</f>
        <v>00000000</v>
      </c>
      <c r="Y64" s="11" t="str">
        <f>HEX2BIN(MID($AB63,Y$2,2),8)</f>
        <v>01101110</v>
      </c>
      <c r="Z64" s="4"/>
    </row>
    <row r="65" spans="3:28" x14ac:dyDescent="0.25">
      <c r="C65" t="s">
        <v>47</v>
      </c>
      <c r="H65" s="8" t="str">
        <f>MID($AB65,H$2,2)</f>
        <v>23</v>
      </c>
      <c r="I65" s="8" t="str">
        <f>MID($AB65,I$2,2)</f>
        <v>CB</v>
      </c>
      <c r="J65" s="8" t="str">
        <f>MID($AB65,J$2,2)</f>
        <v>26</v>
      </c>
      <c r="K65" s="8" t="str">
        <f>MID($AB65,K$2,2)</f>
        <v>01</v>
      </c>
      <c r="L65" s="8" t="str">
        <f>MID($AB65,L$2,2)</f>
        <v>00</v>
      </c>
      <c r="M65" s="8" t="str">
        <f>MID($AB65,M$2,2)</f>
        <v>20</v>
      </c>
      <c r="N65" s="8" t="str">
        <f>MID($AB65,N$2,2)</f>
        <v>48</v>
      </c>
      <c r="O65" s="8" t="str">
        <f>MID($AB65,O$2,2)</f>
        <v>00</v>
      </c>
      <c r="P65" s="8" t="str">
        <f>MID($AB65,P$2,2)</f>
        <v>00</v>
      </c>
      <c r="Q65" s="8" t="str">
        <f>MID($AB65,Q$2,2)</f>
        <v>40</v>
      </c>
      <c r="R65" s="8" t="str">
        <f>MID($AB65,R$2,2)</f>
        <v>7B</v>
      </c>
      <c r="S65" s="8" t="str">
        <f>MID($AB65,S$2,2)</f>
        <v>00</v>
      </c>
      <c r="T65" s="8" t="str">
        <f>MID($AB65,T$2,2)</f>
        <v>00</v>
      </c>
      <c r="U65" s="8" t="str">
        <f>MID($AB65,U$2,2)</f>
        <v>00</v>
      </c>
      <c r="V65" s="8" t="str">
        <f>MID($AB65,V$2,2)</f>
        <v>11</v>
      </c>
      <c r="W65" s="8" t="str">
        <f>MID($AB65,W$2,2)</f>
        <v>06</v>
      </c>
      <c r="X65" s="8" t="str">
        <f>MID($AB65,X$2,2)</f>
        <v>00</v>
      </c>
      <c r="Y65" s="8" t="str">
        <f>MID($AB65,Y$2,2)</f>
        <v>4F</v>
      </c>
      <c r="Z65" s="3"/>
      <c r="AA65" t="s">
        <v>32</v>
      </c>
      <c r="AB65" t="s">
        <v>34</v>
      </c>
    </row>
    <row r="66" spans="3:28" x14ac:dyDescent="0.25">
      <c r="H66" s="9" t="str">
        <f>HEX2BIN(MID($AB65,H$2,2),8)</f>
        <v>00100011</v>
      </c>
      <c r="I66" s="9" t="str">
        <f>HEX2BIN(MID($AB65,I$2,2),8)</f>
        <v>11001011</v>
      </c>
      <c r="J66" s="9" t="str">
        <f>HEX2BIN(MID($AB65,J$2,2),8)</f>
        <v>00100110</v>
      </c>
      <c r="K66" s="9" t="str">
        <f>HEX2BIN(MID($AB65,K$2,2),8)</f>
        <v>00000001</v>
      </c>
      <c r="L66" s="9" t="str">
        <f>HEX2BIN(MID($AB65,L$2,2),8)</f>
        <v>00000000</v>
      </c>
      <c r="M66" s="9" t="str">
        <f>HEX2BIN(MID($AB65,M$2,2),8)</f>
        <v>00100000</v>
      </c>
      <c r="N66" s="9" t="str">
        <f>HEX2BIN(MID($AB65,N$2,2),8)</f>
        <v>01001000</v>
      </c>
      <c r="O66" s="9" t="str">
        <f>HEX2BIN(MID($AB65,O$2,2),8)</f>
        <v>00000000</v>
      </c>
      <c r="P66" s="9" t="str">
        <f>HEX2BIN(MID($AB65,P$2,2),8)</f>
        <v>00000000</v>
      </c>
      <c r="Q66" s="9" t="str">
        <f>HEX2BIN(MID($AB65,Q$2,2),8)</f>
        <v>01000000</v>
      </c>
      <c r="R66" s="9" t="str">
        <f>HEX2BIN(MID($AB65,R$2,2),8)</f>
        <v>01111011</v>
      </c>
      <c r="S66" s="9" t="str">
        <f>HEX2BIN(MID($AB65,S$2,2),8)</f>
        <v>00000000</v>
      </c>
      <c r="T66" s="9" t="str">
        <f>HEX2BIN(MID($AB65,T$2,2),8)</f>
        <v>00000000</v>
      </c>
      <c r="U66" s="9" t="str">
        <f>HEX2BIN(MID($AB65,U$2,2),8)</f>
        <v>00000000</v>
      </c>
      <c r="V66" s="9" t="str">
        <f>HEX2BIN(MID($AB65,V$2,2),8)</f>
        <v>00010001</v>
      </c>
      <c r="W66" s="9" t="str">
        <f>HEX2BIN(MID($AB65,W$2,2),8)</f>
        <v>00000110</v>
      </c>
      <c r="X66" s="9" t="str">
        <f>HEX2BIN(MID($AB65,X$2,2),8)</f>
        <v>00000000</v>
      </c>
      <c r="Y66" s="9" t="str">
        <f>HEX2BIN(MID($AB65,Y$2,2),8)</f>
        <v>01001111</v>
      </c>
      <c r="Z66" s="4"/>
    </row>
    <row r="67" spans="3:28" x14ac:dyDescent="0.25">
      <c r="H67" s="8" t="str">
        <f>MID($AB67,H$2,2)</f>
        <v>23</v>
      </c>
      <c r="I67" s="8" t="str">
        <f>MID($AB67,I$2,2)</f>
        <v>CB</v>
      </c>
      <c r="J67" s="8" t="str">
        <f>MID($AB67,J$2,2)</f>
        <v>26</v>
      </c>
      <c r="K67" s="8" t="str">
        <f>MID($AB67,K$2,2)</f>
        <v>01</v>
      </c>
      <c r="L67" s="8" t="str">
        <f>MID($AB67,L$2,2)</f>
        <v>00</v>
      </c>
      <c r="M67" s="8" t="str">
        <f>MID($AB67,M$2,2)</f>
        <v>20</v>
      </c>
      <c r="N67" s="8" t="str">
        <f>MID($AB67,N$2,2)</f>
        <v>48</v>
      </c>
      <c r="O67" s="8" t="str">
        <f>MID($AB67,O$2,2)</f>
        <v>00</v>
      </c>
      <c r="P67" s="8" t="str">
        <f>MID($AB67,P$2,2)</f>
        <v>00</v>
      </c>
      <c r="Q67" s="8" t="str">
        <f>MID($AB67,Q$2,2)</f>
        <v>80</v>
      </c>
      <c r="R67" s="8" t="str">
        <f>MID($AB67,R$2,2)</f>
        <v>7B</v>
      </c>
      <c r="S67" s="8" t="str">
        <f>MID($AB67,S$2,2)</f>
        <v>00</v>
      </c>
      <c r="T67" s="8" t="str">
        <f>MID($AB67,T$2,2)</f>
        <v>00</v>
      </c>
      <c r="U67" s="8" t="str">
        <f>MID($AB67,U$2,2)</f>
        <v>00</v>
      </c>
      <c r="V67" s="8" t="str">
        <f>MID($AB67,V$2,2)</f>
        <v>11</v>
      </c>
      <c r="W67" s="8" t="str">
        <f>MID($AB67,W$2,2)</f>
        <v>26</v>
      </c>
      <c r="X67" s="8" t="str">
        <f>MID($AB67,X$2,2)</f>
        <v>00</v>
      </c>
      <c r="Y67" s="8" t="str">
        <f>MID($AB67,Y$2,2)</f>
        <v>AF</v>
      </c>
      <c r="Z67" s="3"/>
      <c r="AA67" t="s">
        <v>33</v>
      </c>
      <c r="AB67" t="s">
        <v>35</v>
      </c>
    </row>
    <row r="68" spans="3:28" x14ac:dyDescent="0.25">
      <c r="H68" s="9" t="str">
        <f>HEX2BIN(MID($AB67,H$2,2),8)</f>
        <v>00100011</v>
      </c>
      <c r="I68" s="9" t="str">
        <f>HEX2BIN(MID($AB67,I$2,2),8)</f>
        <v>11001011</v>
      </c>
      <c r="J68" s="9" t="str">
        <f>HEX2BIN(MID($AB67,J$2,2),8)</f>
        <v>00100110</v>
      </c>
      <c r="K68" s="9" t="str">
        <f>HEX2BIN(MID($AB67,K$2,2),8)</f>
        <v>00000001</v>
      </c>
      <c r="L68" s="9" t="str">
        <f>HEX2BIN(MID($AB67,L$2,2),8)</f>
        <v>00000000</v>
      </c>
      <c r="M68" s="9" t="str">
        <f>HEX2BIN(MID($AB67,M$2,2),8)</f>
        <v>00100000</v>
      </c>
      <c r="N68" s="9" t="str">
        <f>HEX2BIN(MID($AB67,N$2,2),8)</f>
        <v>01001000</v>
      </c>
      <c r="O68" s="9" t="str">
        <f>HEX2BIN(MID($AB67,O$2,2),8)</f>
        <v>00000000</v>
      </c>
      <c r="P68" s="9" t="str">
        <f>HEX2BIN(MID($AB67,P$2,2),8)</f>
        <v>00000000</v>
      </c>
      <c r="Q68" s="9" t="str">
        <f>HEX2BIN(MID($AB67,Q$2,2),8)</f>
        <v>10000000</v>
      </c>
      <c r="R68" s="9" t="str">
        <f>HEX2BIN(MID($AB67,R$2,2),8)</f>
        <v>01111011</v>
      </c>
      <c r="S68" s="9" t="str">
        <f>HEX2BIN(MID($AB67,S$2,2),8)</f>
        <v>00000000</v>
      </c>
      <c r="T68" s="9" t="str">
        <f>HEX2BIN(MID($AB67,T$2,2),8)</f>
        <v>00000000</v>
      </c>
      <c r="U68" s="9" t="str">
        <f>HEX2BIN(MID($AB67,U$2,2),8)</f>
        <v>00000000</v>
      </c>
      <c r="V68" s="9" t="str">
        <f>HEX2BIN(MID($AB67,V$2,2),8)</f>
        <v>00010001</v>
      </c>
      <c r="W68" s="9" t="str">
        <f>HEX2BIN(MID($AB67,W$2,2),8)</f>
        <v>00100110</v>
      </c>
      <c r="X68" s="9" t="str">
        <f>HEX2BIN(MID($AB67,X$2,2),8)</f>
        <v>00000000</v>
      </c>
      <c r="Y68" s="9" t="str">
        <f>HEX2BIN(MID($AB67,Y$2,2),8)</f>
        <v>10101111</v>
      </c>
      <c r="Z68" s="4"/>
    </row>
    <row r="69" spans="3:28" x14ac:dyDescent="0.25">
      <c r="H69" s="8" t="str">
        <f>MID($AB69,H$2,2)</f>
        <v>23</v>
      </c>
      <c r="I69" s="8" t="str">
        <f>MID($AB69,I$2,2)</f>
        <v>CB</v>
      </c>
      <c r="J69" s="8" t="str">
        <f>MID($AB69,J$2,2)</f>
        <v>26</v>
      </c>
      <c r="K69" s="8" t="str">
        <f>MID($AB69,K$2,2)</f>
        <v>01</v>
      </c>
      <c r="L69" s="8" t="str">
        <f>MID($AB69,L$2,2)</f>
        <v>00</v>
      </c>
      <c r="M69" s="8" t="str">
        <f>MID($AB69,M$2,2)</f>
        <v>20</v>
      </c>
      <c r="N69" s="8" t="str">
        <f>MID($AB69,N$2,2)</f>
        <v>48</v>
      </c>
      <c r="O69" s="8" t="str">
        <f>MID($AB69,O$2,2)</f>
        <v>00</v>
      </c>
      <c r="P69" s="8" t="str">
        <f>MID($AB69,P$2,2)</f>
        <v>00</v>
      </c>
      <c r="Q69" s="8" t="str">
        <f>MID($AB69,Q$2,2)</f>
        <v>40</v>
      </c>
      <c r="R69" s="8" t="str">
        <f>MID($AB69,R$2,2)</f>
        <v>7B</v>
      </c>
      <c r="S69" s="8" t="str">
        <f>MID($AB69,S$2,2)</f>
        <v>00</v>
      </c>
      <c r="T69" s="8" t="str">
        <f>MID($AB69,T$2,2)</f>
        <v>00</v>
      </c>
      <c r="U69" s="8" t="str">
        <f>MID($AB69,U$2,2)</f>
        <v>00</v>
      </c>
      <c r="V69" s="8" t="str">
        <f>MID($AB69,V$2,2)</f>
        <v>11</v>
      </c>
      <c r="W69" s="8" t="str">
        <f>MID($AB69,W$2,2)</f>
        <v>06</v>
      </c>
      <c r="X69" s="8" t="str">
        <f>MID($AB69,X$2,2)</f>
        <v>00</v>
      </c>
      <c r="Y69" s="8" t="str">
        <f>MID($AB69,Y$2,2)</f>
        <v>4F</v>
      </c>
      <c r="Z69" s="3"/>
      <c r="AA69" t="s">
        <v>32</v>
      </c>
      <c r="AB69" t="s">
        <v>34</v>
      </c>
    </row>
    <row r="70" spans="3:28" x14ac:dyDescent="0.25">
      <c r="H70" s="9" t="str">
        <f>HEX2BIN(MID($AB69,H$2,2),8)</f>
        <v>00100011</v>
      </c>
      <c r="I70" s="9" t="str">
        <f>HEX2BIN(MID($AB69,I$2,2),8)</f>
        <v>11001011</v>
      </c>
      <c r="J70" s="9" t="str">
        <f>HEX2BIN(MID($AB69,J$2,2),8)</f>
        <v>00100110</v>
      </c>
      <c r="K70" s="9" t="str">
        <f>HEX2BIN(MID($AB69,K$2,2),8)</f>
        <v>00000001</v>
      </c>
      <c r="L70" s="9" t="str">
        <f>HEX2BIN(MID($AB69,L$2,2),8)</f>
        <v>00000000</v>
      </c>
      <c r="M70" s="9" t="str">
        <f>HEX2BIN(MID($AB69,M$2,2),8)</f>
        <v>00100000</v>
      </c>
      <c r="N70" s="9" t="str">
        <f>HEX2BIN(MID($AB69,N$2,2),8)</f>
        <v>01001000</v>
      </c>
      <c r="O70" s="9" t="str">
        <f>HEX2BIN(MID($AB69,O$2,2),8)</f>
        <v>00000000</v>
      </c>
      <c r="P70" s="9" t="str">
        <f>HEX2BIN(MID($AB69,P$2,2),8)</f>
        <v>00000000</v>
      </c>
      <c r="Q70" s="9" t="str">
        <f>HEX2BIN(MID($AB69,Q$2,2),8)</f>
        <v>01000000</v>
      </c>
      <c r="R70" s="9" t="str">
        <f>HEX2BIN(MID($AB69,R$2,2),8)</f>
        <v>01111011</v>
      </c>
      <c r="S70" s="9" t="str">
        <f>HEX2BIN(MID($AB69,S$2,2),8)</f>
        <v>00000000</v>
      </c>
      <c r="T70" s="9" t="str">
        <f>HEX2BIN(MID($AB69,T$2,2),8)</f>
        <v>00000000</v>
      </c>
      <c r="U70" s="9" t="str">
        <f>HEX2BIN(MID($AB69,U$2,2),8)</f>
        <v>00000000</v>
      </c>
      <c r="V70" s="9" t="str">
        <f>HEX2BIN(MID($AB69,V$2,2),8)</f>
        <v>00010001</v>
      </c>
      <c r="W70" s="9" t="str">
        <f>HEX2BIN(MID($AB69,W$2,2),8)</f>
        <v>00000110</v>
      </c>
      <c r="X70" s="9" t="str">
        <f>HEX2BIN(MID($AB69,X$2,2),8)</f>
        <v>00000000</v>
      </c>
      <c r="Y70" s="9" t="str">
        <f>HEX2BIN(MID($AB69,Y$2,2),8)</f>
        <v>01001111</v>
      </c>
      <c r="Z70" s="4"/>
    </row>
    <row r="71" spans="3:28" x14ac:dyDescent="0.25">
      <c r="H71" s="8" t="str">
        <f>MID($AB71,H$2,2)</f>
        <v>23</v>
      </c>
      <c r="I71" s="8" t="str">
        <f>MID($AB71,I$2,2)</f>
        <v>CB</v>
      </c>
      <c r="J71" s="8" t="str">
        <f>MID($AB71,J$2,2)</f>
        <v>26</v>
      </c>
      <c r="K71" s="8" t="str">
        <f>MID($AB71,K$2,2)</f>
        <v>01</v>
      </c>
      <c r="L71" s="8" t="str">
        <f>MID($AB71,L$2,2)</f>
        <v>00</v>
      </c>
      <c r="M71" s="8" t="str">
        <f>MID($AB71,M$2,2)</f>
        <v>20</v>
      </c>
      <c r="N71" s="8" t="str">
        <f>MID($AB71,N$2,2)</f>
        <v>48</v>
      </c>
      <c r="O71" s="8" t="str">
        <f>MID($AB71,O$2,2)</f>
        <v>00</v>
      </c>
      <c r="P71" s="8" t="str">
        <f>MID($AB71,P$2,2)</f>
        <v>00</v>
      </c>
      <c r="Q71" s="8" t="str">
        <f>MID($AB71,Q$2,2)</f>
        <v>80</v>
      </c>
      <c r="R71" s="8" t="str">
        <f>MID($AB71,R$2,2)</f>
        <v>7B</v>
      </c>
      <c r="S71" s="8" t="str">
        <f>MID($AB71,S$2,2)</f>
        <v>00</v>
      </c>
      <c r="T71" s="8" t="str">
        <f>MID($AB71,T$2,2)</f>
        <v>00</v>
      </c>
      <c r="U71" s="8" t="str">
        <f>MID($AB71,U$2,2)</f>
        <v>00</v>
      </c>
      <c r="V71" s="8" t="str">
        <f>MID($AB71,V$2,2)</f>
        <v>11</v>
      </c>
      <c r="W71" s="8" t="str">
        <f>MID($AB71,W$2,2)</f>
        <v>26</v>
      </c>
      <c r="X71" s="8" t="str">
        <f>MID($AB71,X$2,2)</f>
        <v>00</v>
      </c>
      <c r="Y71" s="8" t="str">
        <f>MID($AB71,Y$2,2)</f>
        <v>AF</v>
      </c>
      <c r="Z71" s="3"/>
      <c r="AA71" t="s">
        <v>33</v>
      </c>
      <c r="AB71" t="s">
        <v>35</v>
      </c>
    </row>
    <row r="72" spans="3:28" x14ac:dyDescent="0.25">
      <c r="H72" s="9" t="str">
        <f>HEX2BIN(MID($AB71,H$2,2),8)</f>
        <v>00100011</v>
      </c>
      <c r="I72" s="9" t="str">
        <f>HEX2BIN(MID($AB71,I$2,2),8)</f>
        <v>11001011</v>
      </c>
      <c r="J72" s="9" t="str">
        <f>HEX2BIN(MID($AB71,J$2,2),8)</f>
        <v>00100110</v>
      </c>
      <c r="K72" s="9" t="str">
        <f>HEX2BIN(MID($AB71,K$2,2),8)</f>
        <v>00000001</v>
      </c>
      <c r="L72" s="9" t="str">
        <f>HEX2BIN(MID($AB71,L$2,2),8)</f>
        <v>00000000</v>
      </c>
      <c r="M72" s="9" t="str">
        <f>HEX2BIN(MID($AB71,M$2,2),8)</f>
        <v>00100000</v>
      </c>
      <c r="N72" s="9" t="str">
        <f>HEX2BIN(MID($AB71,N$2,2),8)</f>
        <v>01001000</v>
      </c>
      <c r="O72" s="9" t="str">
        <f>HEX2BIN(MID($AB71,O$2,2),8)</f>
        <v>00000000</v>
      </c>
      <c r="P72" s="9" t="str">
        <f>HEX2BIN(MID($AB71,P$2,2),8)</f>
        <v>00000000</v>
      </c>
      <c r="Q72" s="9" t="str">
        <f>HEX2BIN(MID($AB71,Q$2,2),8)</f>
        <v>10000000</v>
      </c>
      <c r="R72" s="9" t="str">
        <f>HEX2BIN(MID($AB71,R$2,2),8)</f>
        <v>01111011</v>
      </c>
      <c r="S72" s="9" t="str">
        <f>HEX2BIN(MID($AB71,S$2,2),8)</f>
        <v>00000000</v>
      </c>
      <c r="T72" s="9" t="str">
        <f>HEX2BIN(MID($AB71,T$2,2),8)</f>
        <v>00000000</v>
      </c>
      <c r="U72" s="9" t="str">
        <f>HEX2BIN(MID($AB71,U$2,2),8)</f>
        <v>00000000</v>
      </c>
      <c r="V72" s="9" t="str">
        <f>HEX2BIN(MID($AB71,V$2,2),8)</f>
        <v>00010001</v>
      </c>
      <c r="W72" s="9" t="str">
        <f>HEX2BIN(MID($AB71,W$2,2),8)</f>
        <v>00100110</v>
      </c>
      <c r="X72" s="9" t="str">
        <f>HEX2BIN(MID($AB71,X$2,2),8)</f>
        <v>00000000</v>
      </c>
      <c r="Y72" s="9" t="str">
        <f>HEX2BIN(MID($AB71,Y$2,2),8)</f>
        <v>10101111</v>
      </c>
      <c r="Z72" s="4"/>
    </row>
    <row r="73" spans="3:28" x14ac:dyDescent="0.25">
      <c r="H73" s="8" t="str">
        <f>MID($AB73,H$2,2)</f>
        <v>23</v>
      </c>
      <c r="I73" s="8" t="str">
        <f>MID($AB73,I$2,2)</f>
        <v>CB</v>
      </c>
      <c r="J73" s="8" t="str">
        <f>MID($AB73,J$2,2)</f>
        <v>26</v>
      </c>
      <c r="K73" s="8" t="str">
        <f>MID($AB73,K$2,2)</f>
        <v>01</v>
      </c>
      <c r="L73" s="8" t="str">
        <f>MID($AB73,L$2,2)</f>
        <v>00</v>
      </c>
      <c r="M73" s="8" t="str">
        <f>MID($AB73,M$2,2)</f>
        <v>20</v>
      </c>
      <c r="N73" s="8" t="str">
        <f>MID($AB73,N$2,2)</f>
        <v>48</v>
      </c>
      <c r="O73" s="8" t="str">
        <f>MID($AB73,O$2,2)</f>
        <v>00</v>
      </c>
      <c r="P73" s="8" t="str">
        <f>MID($AB73,P$2,2)</f>
        <v>00</v>
      </c>
      <c r="Q73" s="8" t="str">
        <f>MID($AB73,Q$2,2)</f>
        <v>40</v>
      </c>
      <c r="R73" s="8" t="str">
        <f>MID($AB73,R$2,2)</f>
        <v>7B</v>
      </c>
      <c r="S73" s="8" t="str">
        <f>MID($AB73,S$2,2)</f>
        <v>00</v>
      </c>
      <c r="T73" s="8" t="str">
        <f>MID($AB73,T$2,2)</f>
        <v>00</v>
      </c>
      <c r="U73" s="8" t="str">
        <f>MID($AB73,U$2,2)</f>
        <v>00</v>
      </c>
      <c r="V73" s="8" t="str">
        <f>MID($AB73,V$2,2)</f>
        <v>11</v>
      </c>
      <c r="W73" s="8" t="str">
        <f>MID($AB73,W$2,2)</f>
        <v>06</v>
      </c>
      <c r="X73" s="8" t="str">
        <f>MID($AB73,X$2,2)</f>
        <v>00</v>
      </c>
      <c r="Y73" s="8" t="str">
        <f>MID($AB73,Y$2,2)</f>
        <v>4F</v>
      </c>
      <c r="Z73" s="3"/>
      <c r="AA73" t="s">
        <v>32</v>
      </c>
      <c r="AB73" t="s">
        <v>34</v>
      </c>
    </row>
    <row r="74" spans="3:28" x14ac:dyDescent="0.25">
      <c r="H74" s="9" t="str">
        <f>HEX2BIN(MID($AB73,H$2,2),8)</f>
        <v>00100011</v>
      </c>
      <c r="I74" s="9" t="str">
        <f>HEX2BIN(MID($AB73,I$2,2),8)</f>
        <v>11001011</v>
      </c>
      <c r="J74" s="9" t="str">
        <f>HEX2BIN(MID($AB73,J$2,2),8)</f>
        <v>00100110</v>
      </c>
      <c r="K74" s="9" t="str">
        <f>HEX2BIN(MID($AB73,K$2,2),8)</f>
        <v>00000001</v>
      </c>
      <c r="L74" s="9" t="str">
        <f>HEX2BIN(MID($AB73,L$2,2),8)</f>
        <v>00000000</v>
      </c>
      <c r="M74" s="9" t="str">
        <f>HEX2BIN(MID($AB73,M$2,2),8)</f>
        <v>00100000</v>
      </c>
      <c r="N74" s="9" t="str">
        <f>HEX2BIN(MID($AB73,N$2,2),8)</f>
        <v>01001000</v>
      </c>
      <c r="O74" s="9" t="str">
        <f>HEX2BIN(MID($AB73,O$2,2),8)</f>
        <v>00000000</v>
      </c>
      <c r="P74" s="9" t="str">
        <f>HEX2BIN(MID($AB73,P$2,2),8)</f>
        <v>00000000</v>
      </c>
      <c r="Q74" s="9" t="str">
        <f>HEX2BIN(MID($AB73,Q$2,2),8)</f>
        <v>01000000</v>
      </c>
      <c r="R74" s="9" t="str">
        <f>HEX2BIN(MID($AB73,R$2,2),8)</f>
        <v>01111011</v>
      </c>
      <c r="S74" s="9" t="str">
        <f>HEX2BIN(MID($AB73,S$2,2),8)</f>
        <v>00000000</v>
      </c>
      <c r="T74" s="9" t="str">
        <f>HEX2BIN(MID($AB73,T$2,2),8)</f>
        <v>00000000</v>
      </c>
      <c r="U74" s="9" t="str">
        <f>HEX2BIN(MID($AB73,U$2,2),8)</f>
        <v>00000000</v>
      </c>
      <c r="V74" s="9" t="str">
        <f>HEX2BIN(MID($AB73,V$2,2),8)</f>
        <v>00010001</v>
      </c>
      <c r="W74" s="9" t="str">
        <f>HEX2BIN(MID($AB73,W$2,2),8)</f>
        <v>00000110</v>
      </c>
      <c r="X74" s="9" t="str">
        <f>HEX2BIN(MID($AB73,X$2,2),8)</f>
        <v>00000000</v>
      </c>
      <c r="Y74" s="9" t="str">
        <f>HEX2BIN(MID($AB73,Y$2,2),8)</f>
        <v>01001111</v>
      </c>
      <c r="Z74" s="4"/>
    </row>
    <row r="75" spans="3:28" x14ac:dyDescent="0.25">
      <c r="H75" s="8" t="str">
        <f>MID($AB75,H$2,2)</f>
        <v>23</v>
      </c>
      <c r="I75" s="8" t="str">
        <f>MID($AB75,I$2,2)</f>
        <v>CB</v>
      </c>
      <c r="J75" s="8" t="str">
        <f>MID($AB75,J$2,2)</f>
        <v>26</v>
      </c>
      <c r="K75" s="8" t="str">
        <f>MID($AB75,K$2,2)</f>
        <v>01</v>
      </c>
      <c r="L75" s="8" t="str">
        <f>MID($AB75,L$2,2)</f>
        <v>00</v>
      </c>
      <c r="M75" s="8" t="str">
        <f>MID($AB75,M$2,2)</f>
        <v>20</v>
      </c>
      <c r="N75" s="8" t="str">
        <f>MID($AB75,N$2,2)</f>
        <v>48</v>
      </c>
      <c r="O75" s="8" t="str">
        <f>MID($AB75,O$2,2)</f>
        <v>00</v>
      </c>
      <c r="P75" s="8" t="str">
        <f>MID($AB75,P$2,2)</f>
        <v>00</v>
      </c>
      <c r="Q75" s="8" t="str">
        <f>MID($AB75,Q$2,2)</f>
        <v>80</v>
      </c>
      <c r="R75" s="8" t="str">
        <f>MID($AB75,R$2,2)</f>
        <v>7B</v>
      </c>
      <c r="S75" s="8" t="str">
        <f>MID($AB75,S$2,2)</f>
        <v>00</v>
      </c>
      <c r="T75" s="8" t="str">
        <f>MID($AB75,T$2,2)</f>
        <v>00</v>
      </c>
      <c r="U75" s="8" t="str">
        <f>MID($AB75,U$2,2)</f>
        <v>00</v>
      </c>
      <c r="V75" s="8" t="str">
        <f>MID($AB75,V$2,2)</f>
        <v>11</v>
      </c>
      <c r="W75" s="8" t="str">
        <f>MID($AB75,W$2,2)</f>
        <v>26</v>
      </c>
      <c r="X75" s="8" t="str">
        <f>MID($AB75,X$2,2)</f>
        <v>00</v>
      </c>
      <c r="Y75" s="8" t="str">
        <f>MID($AB75,Y$2,2)</f>
        <v>AF</v>
      </c>
      <c r="Z75" s="3"/>
      <c r="AA75" t="s">
        <v>33</v>
      </c>
      <c r="AB75" t="s">
        <v>35</v>
      </c>
    </row>
    <row r="76" spans="3:28" x14ac:dyDescent="0.25">
      <c r="H76" s="9" t="str">
        <f>HEX2BIN(MID($AB75,H$2,2),8)</f>
        <v>00100011</v>
      </c>
      <c r="I76" s="9" t="str">
        <f>HEX2BIN(MID($AB75,I$2,2),8)</f>
        <v>11001011</v>
      </c>
      <c r="J76" s="9" t="str">
        <f>HEX2BIN(MID($AB75,J$2,2),8)</f>
        <v>00100110</v>
      </c>
      <c r="K76" s="9" t="str">
        <f>HEX2BIN(MID($AB75,K$2,2),8)</f>
        <v>00000001</v>
      </c>
      <c r="L76" s="9" t="str">
        <f>HEX2BIN(MID($AB75,L$2,2),8)</f>
        <v>00000000</v>
      </c>
      <c r="M76" s="9" t="str">
        <f>HEX2BIN(MID($AB75,M$2,2),8)</f>
        <v>00100000</v>
      </c>
      <c r="N76" s="9" t="str">
        <f>HEX2BIN(MID($AB75,N$2,2),8)</f>
        <v>01001000</v>
      </c>
      <c r="O76" s="9" t="str">
        <f>HEX2BIN(MID($AB75,O$2,2),8)</f>
        <v>00000000</v>
      </c>
      <c r="P76" s="9" t="str">
        <f>HEX2BIN(MID($AB75,P$2,2),8)</f>
        <v>00000000</v>
      </c>
      <c r="Q76" s="9" t="str">
        <f>HEX2BIN(MID($AB75,Q$2,2),8)</f>
        <v>10000000</v>
      </c>
      <c r="R76" s="9" t="str">
        <f>HEX2BIN(MID($AB75,R$2,2),8)</f>
        <v>01111011</v>
      </c>
      <c r="S76" s="9" t="str">
        <f>HEX2BIN(MID($AB75,S$2,2),8)</f>
        <v>00000000</v>
      </c>
      <c r="T76" s="9" t="str">
        <f>HEX2BIN(MID($AB75,T$2,2),8)</f>
        <v>00000000</v>
      </c>
      <c r="U76" s="9" t="str">
        <f>HEX2BIN(MID($AB75,U$2,2),8)</f>
        <v>00000000</v>
      </c>
      <c r="V76" s="9" t="str">
        <f>HEX2BIN(MID($AB75,V$2,2),8)</f>
        <v>00010001</v>
      </c>
      <c r="W76" s="9" t="str">
        <f>HEX2BIN(MID($AB75,W$2,2),8)</f>
        <v>00100110</v>
      </c>
      <c r="X76" s="9" t="str">
        <f>HEX2BIN(MID($AB75,X$2,2),8)</f>
        <v>00000000</v>
      </c>
      <c r="Y76" s="9" t="str">
        <f>HEX2BIN(MID($AB75,Y$2,2),8)</f>
        <v>10101111</v>
      </c>
      <c r="Z76" s="4"/>
    </row>
    <row r="77" spans="3:28" x14ac:dyDescent="0.25">
      <c r="C77" t="s">
        <v>70</v>
      </c>
      <c r="H77" s="12" t="str">
        <f>MID($AB77,H$2,2)</f>
        <v>23</v>
      </c>
      <c r="I77" s="12" t="str">
        <f>MID($AB77,I$2,2)</f>
        <v>CB</v>
      </c>
      <c r="J77" s="12" t="str">
        <f>MID($AB77,J$2,2)</f>
        <v>26</v>
      </c>
      <c r="K77" s="12" t="str">
        <f>MID($AB77,K$2,2)</f>
        <v>01</v>
      </c>
      <c r="L77" s="12" t="str">
        <f>MID($AB77,L$2,2)</f>
        <v>00</v>
      </c>
      <c r="M77" s="12" t="str">
        <f>MID($AB77,M$2,2)</f>
        <v>20</v>
      </c>
      <c r="N77" s="12" t="str">
        <f>MID($AB77,N$2,2)</f>
        <v>48</v>
      </c>
      <c r="O77" s="12" t="str">
        <f>MID($AB77,O$2,2)</f>
        <v>00</v>
      </c>
      <c r="P77" s="12" t="str">
        <f>MID($AB77,P$2,2)</f>
        <v>00</v>
      </c>
      <c r="Q77" s="12" t="str">
        <f>MID($AB77,Q$2,2)</f>
        <v>40</v>
      </c>
      <c r="R77" s="12" t="str">
        <f>MID($AB77,R$2,2)</f>
        <v>7D</v>
      </c>
      <c r="S77" s="12" t="str">
        <f>MID($AB77,S$2,2)</f>
        <v>00</v>
      </c>
      <c r="T77" s="12" t="str">
        <f>MID($AB77,T$2,2)</f>
        <v>00</v>
      </c>
      <c r="U77" s="12" t="str">
        <f>MID($AB77,U$2,2)</f>
        <v>00</v>
      </c>
      <c r="V77" s="12" t="str">
        <f>MID($AB77,V$2,2)</f>
        <v>11</v>
      </c>
      <c r="W77" s="12" t="str">
        <f>MID($AB77,W$2,2)</f>
        <v>0E</v>
      </c>
      <c r="X77" s="12" t="str">
        <f>MID($AB77,X$2,2)</f>
        <v>00</v>
      </c>
      <c r="Y77" s="12" t="str">
        <f>MID($AB77,Y$2,2)</f>
        <v>59</v>
      </c>
      <c r="AA77" t="s">
        <v>66</v>
      </c>
      <c r="AB77" t="s">
        <v>68</v>
      </c>
    </row>
    <row r="78" spans="3:28" x14ac:dyDescent="0.25">
      <c r="H78" s="13" t="str">
        <f>HEX2BIN(MID($AB77,H$2,2),8)</f>
        <v>00100011</v>
      </c>
      <c r="I78" s="13" t="str">
        <f>HEX2BIN(MID($AB77,I$2,2),8)</f>
        <v>11001011</v>
      </c>
      <c r="J78" s="13" t="str">
        <f>HEX2BIN(MID($AB77,J$2,2),8)</f>
        <v>00100110</v>
      </c>
      <c r="K78" s="13" t="str">
        <f>HEX2BIN(MID($AB77,K$2,2),8)</f>
        <v>00000001</v>
      </c>
      <c r="L78" s="13" t="str">
        <f>HEX2BIN(MID($AB77,L$2,2),8)</f>
        <v>00000000</v>
      </c>
      <c r="M78" s="13" t="str">
        <f>HEX2BIN(MID($AB77,M$2,2),8)</f>
        <v>00100000</v>
      </c>
      <c r="N78" s="13" t="str">
        <f>HEX2BIN(MID($AB77,N$2,2),8)</f>
        <v>01001000</v>
      </c>
      <c r="O78" s="13" t="str">
        <f>HEX2BIN(MID($AB77,O$2,2),8)</f>
        <v>00000000</v>
      </c>
      <c r="P78" s="13" t="str">
        <f>HEX2BIN(MID($AB77,P$2,2),8)</f>
        <v>00000000</v>
      </c>
      <c r="Q78" s="13" t="str">
        <f>HEX2BIN(MID($AB77,Q$2,2),8)</f>
        <v>01000000</v>
      </c>
      <c r="R78" s="13" t="str">
        <f>HEX2BIN(MID($AB77,R$2,2),8)</f>
        <v>01111101</v>
      </c>
      <c r="S78" s="13" t="str">
        <f>HEX2BIN(MID($AB77,S$2,2),8)</f>
        <v>00000000</v>
      </c>
      <c r="T78" s="13" t="str">
        <f>HEX2BIN(MID($AB77,T$2,2),8)</f>
        <v>00000000</v>
      </c>
      <c r="U78" s="13" t="str">
        <f>HEX2BIN(MID($AB77,U$2,2),8)</f>
        <v>00000000</v>
      </c>
      <c r="V78" s="13" t="str">
        <f>HEX2BIN(MID($AB77,V$2,2),8)</f>
        <v>00010001</v>
      </c>
      <c r="W78" s="13" t="str">
        <f>HEX2BIN(MID($AB77,W$2,2),8)</f>
        <v>00001110</v>
      </c>
      <c r="X78" s="13" t="str">
        <f>HEX2BIN(MID($AB77,X$2,2),8)</f>
        <v>00000000</v>
      </c>
      <c r="Y78" s="13" t="str">
        <f>HEX2BIN(MID($AB77,Y$2,2),8)</f>
        <v>01011001</v>
      </c>
    </row>
    <row r="79" spans="3:28" x14ac:dyDescent="0.25">
      <c r="H79" s="12" t="str">
        <f>MID($AB79,H$2,2)</f>
        <v>23</v>
      </c>
      <c r="I79" s="12" t="str">
        <f>MID($AB79,I$2,2)</f>
        <v>CB</v>
      </c>
      <c r="J79" s="12" t="str">
        <f>MID($AB79,J$2,2)</f>
        <v>26</v>
      </c>
      <c r="K79" s="12" t="str">
        <f>MID($AB79,K$2,2)</f>
        <v>01</v>
      </c>
      <c r="L79" s="12" t="str">
        <f>MID($AB79,L$2,2)</f>
        <v>00</v>
      </c>
      <c r="M79" s="12" t="str">
        <f>MID($AB79,M$2,2)</f>
        <v>20</v>
      </c>
      <c r="N79" s="12" t="str">
        <f>MID($AB79,N$2,2)</f>
        <v>48</v>
      </c>
      <c r="O79" s="12" t="str">
        <f>MID($AB79,O$2,2)</f>
        <v>00</v>
      </c>
      <c r="P79" s="12" t="str">
        <f>MID($AB79,P$2,2)</f>
        <v>00</v>
      </c>
      <c r="Q79" s="12" t="str">
        <f>MID($AB79,Q$2,2)</f>
        <v>40</v>
      </c>
      <c r="R79" s="12" t="str">
        <f>MID($AB79,R$2,2)</f>
        <v>7D</v>
      </c>
      <c r="S79" s="12" t="str">
        <f>MID($AB79,S$2,2)</f>
        <v>00</v>
      </c>
      <c r="T79" s="12" t="str">
        <f>MID($AB79,T$2,2)</f>
        <v>00</v>
      </c>
      <c r="U79" s="12" t="str">
        <f>MID($AB79,U$2,2)</f>
        <v>00</v>
      </c>
      <c r="V79" s="12" t="str">
        <f>MID($AB79,V$2,2)</f>
        <v>11</v>
      </c>
      <c r="W79" s="12" t="str">
        <f>MID($AB79,W$2,2)</f>
        <v>06</v>
      </c>
      <c r="X79" s="12" t="str">
        <f>MID($AB79,X$2,2)</f>
        <v>00</v>
      </c>
      <c r="Y79" s="12" t="str">
        <f>MID($AB79,Y$2,2)</f>
        <v>51</v>
      </c>
      <c r="AA79" t="s">
        <v>67</v>
      </c>
      <c r="AB79" t="s">
        <v>69</v>
      </c>
    </row>
    <row r="80" spans="3:28" x14ac:dyDescent="0.25">
      <c r="H80" s="13" t="str">
        <f>HEX2BIN(MID($AB79,H$2,2),8)</f>
        <v>00100011</v>
      </c>
      <c r="I80" s="13" t="str">
        <f>HEX2BIN(MID($AB79,I$2,2),8)</f>
        <v>11001011</v>
      </c>
      <c r="J80" s="13" t="str">
        <f>HEX2BIN(MID($AB79,J$2,2),8)</f>
        <v>00100110</v>
      </c>
      <c r="K80" s="13" t="str">
        <f>HEX2BIN(MID($AB79,K$2,2),8)</f>
        <v>00000001</v>
      </c>
      <c r="L80" s="13" t="str">
        <f>HEX2BIN(MID($AB79,L$2,2),8)</f>
        <v>00000000</v>
      </c>
      <c r="M80" s="13" t="str">
        <f>HEX2BIN(MID($AB79,M$2,2),8)</f>
        <v>00100000</v>
      </c>
      <c r="N80" s="13" t="str">
        <f>HEX2BIN(MID($AB79,N$2,2),8)</f>
        <v>01001000</v>
      </c>
      <c r="O80" s="13" t="str">
        <f>HEX2BIN(MID($AB79,O$2,2),8)</f>
        <v>00000000</v>
      </c>
      <c r="P80" s="13" t="str">
        <f>HEX2BIN(MID($AB79,P$2,2),8)</f>
        <v>00000000</v>
      </c>
      <c r="Q80" s="13" t="str">
        <f>HEX2BIN(MID($AB79,Q$2,2),8)</f>
        <v>01000000</v>
      </c>
      <c r="R80" s="13" t="str">
        <f>HEX2BIN(MID($AB79,R$2,2),8)</f>
        <v>01111101</v>
      </c>
      <c r="S80" s="13" t="str">
        <f>HEX2BIN(MID($AB79,S$2,2),8)</f>
        <v>00000000</v>
      </c>
      <c r="T80" s="13" t="str">
        <f>HEX2BIN(MID($AB79,T$2,2),8)</f>
        <v>00000000</v>
      </c>
      <c r="U80" s="13" t="str">
        <f>HEX2BIN(MID($AB79,U$2,2),8)</f>
        <v>00000000</v>
      </c>
      <c r="V80" s="13" t="str">
        <f>HEX2BIN(MID($AB79,V$2,2),8)</f>
        <v>00010001</v>
      </c>
      <c r="W80" s="13" t="str">
        <f>HEX2BIN(MID($AB79,W$2,2),8)</f>
        <v>00000110</v>
      </c>
      <c r="X80" s="13" t="str">
        <f>HEX2BIN(MID($AB79,X$2,2),8)</f>
        <v>00000000</v>
      </c>
      <c r="Y80" s="13" t="str">
        <f>HEX2BIN(MID($AB79,Y$2,2),8)</f>
        <v>01010001</v>
      </c>
    </row>
    <row r="81" spans="3:28" x14ac:dyDescent="0.25">
      <c r="H81" s="12" t="str">
        <f>MID($AB81,H$2,2)</f>
        <v>23</v>
      </c>
      <c r="I81" s="12" t="str">
        <f>MID($AB81,I$2,2)</f>
        <v>CB</v>
      </c>
      <c r="J81" s="12" t="str">
        <f>MID($AB81,J$2,2)</f>
        <v>26</v>
      </c>
      <c r="K81" s="12" t="str">
        <f>MID($AB81,K$2,2)</f>
        <v>01</v>
      </c>
      <c r="L81" s="12" t="str">
        <f>MID($AB81,L$2,2)</f>
        <v>00</v>
      </c>
      <c r="M81" s="12" t="str">
        <f>MID($AB81,M$2,2)</f>
        <v>20</v>
      </c>
      <c r="N81" s="12" t="str">
        <f>MID($AB81,N$2,2)</f>
        <v>48</v>
      </c>
      <c r="O81" s="12" t="str">
        <f>MID($AB81,O$2,2)</f>
        <v>00</v>
      </c>
      <c r="P81" s="12" t="str">
        <f>MID($AB81,P$2,2)</f>
        <v>00</v>
      </c>
      <c r="Q81" s="12" t="str">
        <f>MID($AB81,Q$2,2)</f>
        <v>40</v>
      </c>
      <c r="R81" s="12" t="str">
        <f>MID($AB81,R$2,2)</f>
        <v>7D</v>
      </c>
      <c r="S81" s="12" t="str">
        <f>MID($AB81,S$2,2)</f>
        <v>00</v>
      </c>
      <c r="T81" s="12" t="str">
        <f>MID($AB81,T$2,2)</f>
        <v>00</v>
      </c>
      <c r="U81" s="12" t="str">
        <f>MID($AB81,U$2,2)</f>
        <v>00</v>
      </c>
      <c r="V81" s="12" t="str">
        <f>MID($AB81,V$2,2)</f>
        <v>11</v>
      </c>
      <c r="W81" s="12" t="str">
        <f>MID($AB81,W$2,2)</f>
        <v>0E</v>
      </c>
      <c r="X81" s="12" t="str">
        <f>MID($AB81,X$2,2)</f>
        <v>00</v>
      </c>
      <c r="Y81" s="12" t="str">
        <f>MID($AB81,Y$2,2)</f>
        <v>59</v>
      </c>
      <c r="AA81" t="s">
        <v>66</v>
      </c>
      <c r="AB81" t="s">
        <v>68</v>
      </c>
    </row>
    <row r="82" spans="3:28" x14ac:dyDescent="0.25">
      <c r="H82" s="13" t="str">
        <f>HEX2BIN(MID($AB81,H$2,2),8)</f>
        <v>00100011</v>
      </c>
      <c r="I82" s="13" t="str">
        <f>HEX2BIN(MID($AB81,I$2,2),8)</f>
        <v>11001011</v>
      </c>
      <c r="J82" s="13" t="str">
        <f>HEX2BIN(MID($AB81,J$2,2),8)</f>
        <v>00100110</v>
      </c>
      <c r="K82" s="13" t="str">
        <f>HEX2BIN(MID($AB81,K$2,2),8)</f>
        <v>00000001</v>
      </c>
      <c r="L82" s="13" t="str">
        <f>HEX2BIN(MID($AB81,L$2,2),8)</f>
        <v>00000000</v>
      </c>
      <c r="M82" s="13" t="str">
        <f>HEX2BIN(MID($AB81,M$2,2),8)</f>
        <v>00100000</v>
      </c>
      <c r="N82" s="13" t="str">
        <f>HEX2BIN(MID($AB81,N$2,2),8)</f>
        <v>01001000</v>
      </c>
      <c r="O82" s="13" t="str">
        <f>HEX2BIN(MID($AB81,O$2,2),8)</f>
        <v>00000000</v>
      </c>
      <c r="P82" s="13" t="str">
        <f>HEX2BIN(MID($AB81,P$2,2),8)</f>
        <v>00000000</v>
      </c>
      <c r="Q82" s="13" t="str">
        <f>HEX2BIN(MID($AB81,Q$2,2),8)</f>
        <v>01000000</v>
      </c>
      <c r="R82" s="13" t="str">
        <f>HEX2BIN(MID($AB81,R$2,2),8)</f>
        <v>01111101</v>
      </c>
      <c r="S82" s="13" t="str">
        <f>HEX2BIN(MID($AB81,S$2,2),8)</f>
        <v>00000000</v>
      </c>
      <c r="T82" s="13" t="str">
        <f>HEX2BIN(MID($AB81,T$2,2),8)</f>
        <v>00000000</v>
      </c>
      <c r="U82" s="13" t="str">
        <f>HEX2BIN(MID($AB81,U$2,2),8)</f>
        <v>00000000</v>
      </c>
      <c r="V82" s="13" t="str">
        <f>HEX2BIN(MID($AB81,V$2,2),8)</f>
        <v>00010001</v>
      </c>
      <c r="W82" s="13" t="str">
        <f>HEX2BIN(MID($AB81,W$2,2),8)</f>
        <v>00001110</v>
      </c>
      <c r="X82" s="13" t="str">
        <f>HEX2BIN(MID($AB81,X$2,2),8)</f>
        <v>00000000</v>
      </c>
      <c r="Y82" s="13" t="str">
        <f>HEX2BIN(MID($AB81,Y$2,2),8)</f>
        <v>01011001</v>
      </c>
    </row>
    <row r="83" spans="3:28" x14ac:dyDescent="0.25">
      <c r="H83" s="12" t="str">
        <f>MID($AB83,H$2,2)</f>
        <v>23</v>
      </c>
      <c r="I83" s="12" t="str">
        <f>MID($AB83,I$2,2)</f>
        <v>CB</v>
      </c>
      <c r="J83" s="12" t="str">
        <f>MID($AB83,J$2,2)</f>
        <v>26</v>
      </c>
      <c r="K83" s="12" t="str">
        <f>MID($AB83,K$2,2)</f>
        <v>01</v>
      </c>
      <c r="L83" s="12" t="str">
        <f>MID($AB83,L$2,2)</f>
        <v>00</v>
      </c>
      <c r="M83" s="12" t="str">
        <f>MID($AB83,M$2,2)</f>
        <v>20</v>
      </c>
      <c r="N83" s="12" t="str">
        <f>MID($AB83,N$2,2)</f>
        <v>48</v>
      </c>
      <c r="O83" s="12" t="str">
        <f>MID($AB83,O$2,2)</f>
        <v>00</v>
      </c>
      <c r="P83" s="12" t="str">
        <f>MID($AB83,P$2,2)</f>
        <v>00</v>
      </c>
      <c r="Q83" s="12" t="str">
        <f>MID($AB83,Q$2,2)</f>
        <v>40</v>
      </c>
      <c r="R83" s="12" t="str">
        <f>MID($AB83,R$2,2)</f>
        <v>7D</v>
      </c>
      <c r="S83" s="12" t="str">
        <f>MID($AB83,S$2,2)</f>
        <v>00</v>
      </c>
      <c r="T83" s="12" t="str">
        <f>MID($AB83,T$2,2)</f>
        <v>00</v>
      </c>
      <c r="U83" s="12" t="str">
        <f>MID($AB83,U$2,2)</f>
        <v>00</v>
      </c>
      <c r="V83" s="12" t="str">
        <f>MID($AB83,V$2,2)</f>
        <v>11</v>
      </c>
      <c r="W83" s="12" t="str">
        <f>MID($AB83,W$2,2)</f>
        <v>06</v>
      </c>
      <c r="X83" s="12" t="str">
        <f>MID($AB83,X$2,2)</f>
        <v>00</v>
      </c>
      <c r="Y83" s="12" t="str">
        <f>MID($AB83,Y$2,2)</f>
        <v>51</v>
      </c>
      <c r="AA83" t="s">
        <v>67</v>
      </c>
      <c r="AB83" t="s">
        <v>69</v>
      </c>
    </row>
    <row r="84" spans="3:28" x14ac:dyDescent="0.25">
      <c r="H84" s="13" t="str">
        <f>HEX2BIN(MID($AB83,H$2,2),8)</f>
        <v>00100011</v>
      </c>
      <c r="I84" s="13" t="str">
        <f>HEX2BIN(MID($AB83,I$2,2),8)</f>
        <v>11001011</v>
      </c>
      <c r="J84" s="13" t="str">
        <f>HEX2BIN(MID($AB83,J$2,2),8)</f>
        <v>00100110</v>
      </c>
      <c r="K84" s="13" t="str">
        <f>HEX2BIN(MID($AB83,K$2,2),8)</f>
        <v>00000001</v>
      </c>
      <c r="L84" s="13" t="str">
        <f>HEX2BIN(MID($AB83,L$2,2),8)</f>
        <v>00000000</v>
      </c>
      <c r="M84" s="13" t="str">
        <f>HEX2BIN(MID($AB83,M$2,2),8)</f>
        <v>00100000</v>
      </c>
      <c r="N84" s="13" t="str">
        <f>HEX2BIN(MID($AB83,N$2,2),8)</f>
        <v>01001000</v>
      </c>
      <c r="O84" s="13" t="str">
        <f>HEX2BIN(MID($AB83,O$2,2),8)</f>
        <v>00000000</v>
      </c>
      <c r="P84" s="13" t="str">
        <f>HEX2BIN(MID($AB83,P$2,2),8)</f>
        <v>00000000</v>
      </c>
      <c r="Q84" s="13" t="str">
        <f>HEX2BIN(MID($AB83,Q$2,2),8)</f>
        <v>01000000</v>
      </c>
      <c r="R84" s="13" t="str">
        <f>HEX2BIN(MID($AB83,R$2,2),8)</f>
        <v>01111101</v>
      </c>
      <c r="S84" s="13" t="str">
        <f>HEX2BIN(MID($AB83,S$2,2),8)</f>
        <v>00000000</v>
      </c>
      <c r="T84" s="13" t="str">
        <f>HEX2BIN(MID($AB83,T$2,2),8)</f>
        <v>00000000</v>
      </c>
      <c r="U84" s="13" t="str">
        <f>HEX2BIN(MID($AB83,U$2,2),8)</f>
        <v>00000000</v>
      </c>
      <c r="V84" s="13" t="str">
        <f>HEX2BIN(MID($AB83,V$2,2),8)</f>
        <v>00010001</v>
      </c>
      <c r="W84" s="13" t="str">
        <f>HEX2BIN(MID($AB83,W$2,2),8)</f>
        <v>00000110</v>
      </c>
      <c r="X84" s="13" t="str">
        <f>HEX2BIN(MID($AB83,X$2,2),8)</f>
        <v>00000000</v>
      </c>
      <c r="Y84" s="13" t="str">
        <f>HEX2BIN(MID($AB83,Y$2,2),8)</f>
        <v>01010001</v>
      </c>
    </row>
    <row r="85" spans="3:28" x14ac:dyDescent="0.25">
      <c r="C85" t="s">
        <v>76</v>
      </c>
      <c r="H85" s="12" t="str">
        <f>MID($AB85,H$2,2)</f>
        <v>23</v>
      </c>
      <c r="I85" s="12" t="str">
        <f>MID($AB85,I$2,2)</f>
        <v>CB</v>
      </c>
      <c r="J85" s="12" t="str">
        <f>MID($AB85,J$2,2)</f>
        <v>26</v>
      </c>
      <c r="K85" s="12" t="str">
        <f>MID($AB85,K$2,2)</f>
        <v>01</v>
      </c>
      <c r="L85" s="12" t="str">
        <f>MID($AB85,L$2,2)</f>
        <v>00</v>
      </c>
      <c r="M85" s="12" t="str">
        <f>MID($AB85,M$2,2)</f>
        <v>20</v>
      </c>
      <c r="N85" s="12" t="str">
        <f>MID($AB85,N$2,2)</f>
        <v>38</v>
      </c>
      <c r="O85" s="12" t="str">
        <f>MID($AB85,O$2,2)</f>
        <v>08</v>
      </c>
      <c r="P85" s="12" t="str">
        <f>MID($AB85,P$2,2)</f>
        <v>C0</v>
      </c>
      <c r="Q85" s="12" t="str">
        <f>MID($AB85,Q$2,2)</f>
        <v>60</v>
      </c>
      <c r="R85" s="12" t="str">
        <f>MID($AB85,R$2,2)</f>
        <v>7E</v>
      </c>
      <c r="S85" s="12" t="str">
        <f>MID($AB85,S$2,2)</f>
        <v>00</v>
      </c>
      <c r="T85" s="12" t="str">
        <f>MID($AB85,T$2,2)</f>
        <v>00</v>
      </c>
      <c r="U85" s="12" t="str">
        <f>MID($AB85,U$2,2)</f>
        <v>00</v>
      </c>
      <c r="V85" s="12" t="str">
        <f>MID($AB85,V$2,2)</f>
        <v>11</v>
      </c>
      <c r="W85" s="12" t="str">
        <f>MID($AB85,W$2,2)</f>
        <v>00</v>
      </c>
      <c r="X85" s="12" t="str">
        <f>MID($AB85,X$2,2)</f>
        <v>02</v>
      </c>
      <c r="Y85" s="12" t="str">
        <f>MID($AB85,Y$2,2)</f>
        <v>26</v>
      </c>
      <c r="AA85" t="s">
        <v>74</v>
      </c>
      <c r="AB85" t="s">
        <v>77</v>
      </c>
    </row>
    <row r="86" spans="3:28" x14ac:dyDescent="0.25">
      <c r="H86" s="13" t="str">
        <f>HEX2BIN(MID($AB85,H$2,2),8)</f>
        <v>00100011</v>
      </c>
      <c r="I86" s="13" t="str">
        <f>HEX2BIN(MID($AB85,I$2,2),8)</f>
        <v>11001011</v>
      </c>
      <c r="J86" s="13" t="str">
        <f>HEX2BIN(MID($AB85,J$2,2),8)</f>
        <v>00100110</v>
      </c>
      <c r="K86" s="13" t="str">
        <f>HEX2BIN(MID($AB85,K$2,2),8)</f>
        <v>00000001</v>
      </c>
      <c r="L86" s="13" t="str">
        <f>HEX2BIN(MID($AB85,L$2,2),8)</f>
        <v>00000000</v>
      </c>
      <c r="M86" s="13" t="str">
        <f>HEX2BIN(MID($AB85,M$2,2),8)</f>
        <v>00100000</v>
      </c>
      <c r="N86" s="13" t="str">
        <f>HEX2BIN(MID($AB85,N$2,2),8)</f>
        <v>00111000</v>
      </c>
      <c r="O86" s="13" t="str">
        <f>HEX2BIN(MID($AB85,O$2,2),8)</f>
        <v>00001000</v>
      </c>
      <c r="P86" s="13" t="str">
        <f>HEX2BIN(MID($AB85,P$2,2),8)</f>
        <v>11000000</v>
      </c>
      <c r="Q86" s="13" t="str">
        <f>HEX2BIN(MID($AB85,Q$2,2),8)</f>
        <v>01100000</v>
      </c>
      <c r="R86" s="13" t="str">
        <f>HEX2BIN(MID($AB85,R$2,2),8)</f>
        <v>01111110</v>
      </c>
      <c r="S86" s="13" t="str">
        <f>HEX2BIN(MID($AB85,S$2,2),8)</f>
        <v>00000000</v>
      </c>
      <c r="T86" s="13" t="str">
        <f>HEX2BIN(MID($AB85,T$2,2),8)</f>
        <v>00000000</v>
      </c>
      <c r="U86" s="13" t="str">
        <f>HEX2BIN(MID($AB85,U$2,2),8)</f>
        <v>00000000</v>
      </c>
      <c r="V86" s="13" t="str">
        <f>HEX2BIN(MID($AB85,V$2,2),8)</f>
        <v>00010001</v>
      </c>
      <c r="W86" s="13" t="str">
        <f>HEX2BIN(MID($AB85,W$2,2),8)</f>
        <v>00000000</v>
      </c>
      <c r="X86" s="13" t="str">
        <f>HEX2BIN(MID($AB85,X$2,2),8)</f>
        <v>00000010</v>
      </c>
      <c r="Y86" s="13" t="str">
        <f>HEX2BIN(MID($AB85,Y$2,2),8)</f>
        <v>00100110</v>
      </c>
    </row>
    <row r="87" spans="3:28" x14ac:dyDescent="0.25">
      <c r="H87" s="12" t="str">
        <f>MID($AB87,H$2,2)</f>
        <v>23</v>
      </c>
      <c r="I87" s="12" t="str">
        <f>MID($AB87,I$2,2)</f>
        <v>CB</v>
      </c>
      <c r="J87" s="12" t="str">
        <f>MID($AB87,J$2,2)</f>
        <v>26</v>
      </c>
      <c r="K87" s="12" t="str">
        <f>MID($AB87,K$2,2)</f>
        <v>01</v>
      </c>
      <c r="L87" s="12" t="str">
        <f>MID($AB87,L$2,2)</f>
        <v>00</v>
      </c>
      <c r="M87" s="12" t="str">
        <f>MID($AB87,M$2,2)</f>
        <v>20</v>
      </c>
      <c r="N87" s="12" t="str">
        <f>MID($AB87,N$2,2)</f>
        <v>38</v>
      </c>
      <c r="O87" s="12" t="str">
        <f>MID($AB87,O$2,2)</f>
        <v>08</v>
      </c>
      <c r="P87" s="12" t="str">
        <f>MID($AB87,P$2,2)</f>
        <v>C0</v>
      </c>
      <c r="Q87" s="12" t="str">
        <f>MID($AB87,Q$2,2)</f>
        <v>60</v>
      </c>
      <c r="R87" s="12" t="str">
        <f>MID($AB87,R$2,2)</f>
        <v>7E</v>
      </c>
      <c r="S87" s="12" t="str">
        <f>MID($AB87,S$2,2)</f>
        <v>00</v>
      </c>
      <c r="T87" s="12" t="str">
        <f>MID($AB87,T$2,2)</f>
        <v>00</v>
      </c>
      <c r="U87" s="12" t="str">
        <f>MID($AB87,U$2,2)</f>
        <v>00</v>
      </c>
      <c r="V87" s="12" t="str">
        <f>MID($AB87,V$2,2)</f>
        <v>11</v>
      </c>
      <c r="W87" s="12" t="str">
        <f>MID($AB87,W$2,2)</f>
        <v>00</v>
      </c>
      <c r="X87" s="12" t="str">
        <f>MID($AB87,X$2,2)</f>
        <v>00</v>
      </c>
      <c r="Y87" s="12" t="str">
        <f>MID($AB87,Y$2,2)</f>
        <v>24</v>
      </c>
      <c r="AA87" t="s">
        <v>75</v>
      </c>
      <c r="AB87" t="s">
        <v>78</v>
      </c>
    </row>
    <row r="88" spans="3:28" x14ac:dyDescent="0.25">
      <c r="H88" s="13" t="str">
        <f>HEX2BIN(MID($AB87,H$2,2),8)</f>
        <v>00100011</v>
      </c>
      <c r="I88" s="13" t="str">
        <f>HEX2BIN(MID($AB87,I$2,2),8)</f>
        <v>11001011</v>
      </c>
      <c r="J88" s="13" t="str">
        <f>HEX2BIN(MID($AB87,J$2,2),8)</f>
        <v>00100110</v>
      </c>
      <c r="K88" s="13" t="str">
        <f>HEX2BIN(MID($AB87,K$2,2),8)</f>
        <v>00000001</v>
      </c>
      <c r="L88" s="13" t="str">
        <f>HEX2BIN(MID($AB87,L$2,2),8)</f>
        <v>00000000</v>
      </c>
      <c r="M88" s="13" t="str">
        <f>HEX2BIN(MID($AB87,M$2,2),8)</f>
        <v>00100000</v>
      </c>
      <c r="N88" s="13" t="str">
        <f>HEX2BIN(MID($AB87,N$2,2),8)</f>
        <v>00111000</v>
      </c>
      <c r="O88" s="13" t="str">
        <f>HEX2BIN(MID($AB87,O$2,2),8)</f>
        <v>00001000</v>
      </c>
      <c r="P88" s="13" t="str">
        <f>HEX2BIN(MID($AB87,P$2,2),8)</f>
        <v>11000000</v>
      </c>
      <c r="Q88" s="13" t="str">
        <f>HEX2BIN(MID($AB87,Q$2,2),8)</f>
        <v>01100000</v>
      </c>
      <c r="R88" s="13" t="str">
        <f>HEX2BIN(MID($AB87,R$2,2),8)</f>
        <v>01111110</v>
      </c>
      <c r="S88" s="13" t="str">
        <f>HEX2BIN(MID($AB87,S$2,2),8)</f>
        <v>00000000</v>
      </c>
      <c r="T88" s="13" t="str">
        <f>HEX2BIN(MID($AB87,T$2,2),8)</f>
        <v>00000000</v>
      </c>
      <c r="U88" s="13" t="str">
        <f>HEX2BIN(MID($AB87,U$2,2),8)</f>
        <v>00000000</v>
      </c>
      <c r="V88" s="13" t="str">
        <f>HEX2BIN(MID($AB87,V$2,2),8)</f>
        <v>00010001</v>
      </c>
      <c r="W88" s="13" t="str">
        <f>HEX2BIN(MID($AB87,W$2,2),8)</f>
        <v>00000000</v>
      </c>
      <c r="X88" s="13" t="str">
        <f>HEX2BIN(MID($AB87,X$2,2),8)</f>
        <v>00000000</v>
      </c>
      <c r="Y88" s="13" t="str">
        <f>HEX2BIN(MID($AB87,Y$2,2),8)</f>
        <v>00100100</v>
      </c>
    </row>
    <row r="89" spans="3:28" x14ac:dyDescent="0.25">
      <c r="H89" s="12" t="str">
        <f>MID($AB89,H$2,2)</f>
        <v>23</v>
      </c>
      <c r="I89" s="12" t="str">
        <f>MID($AB89,I$2,2)</f>
        <v>CB</v>
      </c>
      <c r="J89" s="12" t="str">
        <f>MID($AB89,J$2,2)</f>
        <v>26</v>
      </c>
      <c r="K89" s="12" t="str">
        <f>MID($AB89,K$2,2)</f>
        <v>01</v>
      </c>
      <c r="L89" s="12" t="str">
        <f>MID($AB89,L$2,2)</f>
        <v>00</v>
      </c>
      <c r="M89" s="12" t="str">
        <f>MID($AB89,M$2,2)</f>
        <v>20</v>
      </c>
      <c r="N89" s="12" t="str">
        <f>MID($AB89,N$2,2)</f>
        <v>38</v>
      </c>
      <c r="O89" s="12" t="str">
        <f>MID($AB89,O$2,2)</f>
        <v>08</v>
      </c>
      <c r="P89" s="12" t="str">
        <f>MID($AB89,P$2,2)</f>
        <v>C0</v>
      </c>
      <c r="Q89" s="12" t="str">
        <f>MID($AB89,Q$2,2)</f>
        <v>60</v>
      </c>
      <c r="R89" s="12" t="str">
        <f>MID($AB89,R$2,2)</f>
        <v>7E</v>
      </c>
      <c r="S89" s="12" t="str">
        <f>MID($AB89,S$2,2)</f>
        <v>00</v>
      </c>
      <c r="T89" s="12" t="str">
        <f>MID($AB89,T$2,2)</f>
        <v>00</v>
      </c>
      <c r="U89" s="12" t="str">
        <f>MID($AB89,U$2,2)</f>
        <v>00</v>
      </c>
      <c r="V89" s="12" t="str">
        <f>MID($AB89,V$2,2)</f>
        <v>11</v>
      </c>
      <c r="W89" s="12" t="str">
        <f>MID($AB89,W$2,2)</f>
        <v>00</v>
      </c>
      <c r="X89" s="12" t="str">
        <f>MID($AB89,X$2,2)</f>
        <v>02</v>
      </c>
      <c r="Y89" s="12" t="str">
        <f>MID($AB89,Y$2,2)</f>
        <v>26</v>
      </c>
      <c r="AA89" t="s">
        <v>74</v>
      </c>
      <c r="AB89" t="s">
        <v>77</v>
      </c>
    </row>
    <row r="90" spans="3:28" x14ac:dyDescent="0.25">
      <c r="H90" s="13" t="str">
        <f>HEX2BIN(MID($AB89,H$2,2),8)</f>
        <v>00100011</v>
      </c>
      <c r="I90" s="13" t="str">
        <f>HEX2BIN(MID($AB89,I$2,2),8)</f>
        <v>11001011</v>
      </c>
      <c r="J90" s="13" t="str">
        <f>HEX2BIN(MID($AB89,J$2,2),8)</f>
        <v>00100110</v>
      </c>
      <c r="K90" s="13" t="str">
        <f>HEX2BIN(MID($AB89,K$2,2),8)</f>
        <v>00000001</v>
      </c>
      <c r="L90" s="13" t="str">
        <f>HEX2BIN(MID($AB89,L$2,2),8)</f>
        <v>00000000</v>
      </c>
      <c r="M90" s="13" t="str">
        <f>HEX2BIN(MID($AB89,M$2,2),8)</f>
        <v>00100000</v>
      </c>
      <c r="N90" s="13" t="str">
        <f>HEX2BIN(MID($AB89,N$2,2),8)</f>
        <v>00111000</v>
      </c>
      <c r="O90" s="13" t="str">
        <f>HEX2BIN(MID($AB89,O$2,2),8)</f>
        <v>00001000</v>
      </c>
      <c r="P90" s="13" t="str">
        <f>HEX2BIN(MID($AB89,P$2,2),8)</f>
        <v>11000000</v>
      </c>
      <c r="Q90" s="13" t="str">
        <f>HEX2BIN(MID($AB89,Q$2,2),8)</f>
        <v>01100000</v>
      </c>
      <c r="R90" s="13" t="str">
        <f>HEX2BIN(MID($AB89,R$2,2),8)</f>
        <v>01111110</v>
      </c>
      <c r="S90" s="13" t="str">
        <f>HEX2BIN(MID($AB89,S$2,2),8)</f>
        <v>00000000</v>
      </c>
      <c r="T90" s="13" t="str">
        <f>HEX2BIN(MID($AB89,T$2,2),8)</f>
        <v>00000000</v>
      </c>
      <c r="U90" s="13" t="str">
        <f>HEX2BIN(MID($AB89,U$2,2),8)</f>
        <v>00000000</v>
      </c>
      <c r="V90" s="13" t="str">
        <f>HEX2BIN(MID($AB89,V$2,2),8)</f>
        <v>00010001</v>
      </c>
      <c r="W90" s="13" t="str">
        <f>HEX2BIN(MID($AB89,W$2,2),8)</f>
        <v>00000000</v>
      </c>
      <c r="X90" s="13" t="str">
        <f>HEX2BIN(MID($AB89,X$2,2),8)</f>
        <v>00000010</v>
      </c>
      <c r="Y90" s="13" t="str">
        <f>HEX2BIN(MID($AB89,Y$2,2),8)</f>
        <v>00100110</v>
      </c>
    </row>
    <row r="91" spans="3:28" x14ac:dyDescent="0.25">
      <c r="H91" s="12" t="str">
        <f>MID($AB91,H$2,2)</f>
        <v>23</v>
      </c>
      <c r="I91" s="12" t="str">
        <f>MID($AB91,I$2,2)</f>
        <v>CB</v>
      </c>
      <c r="J91" s="12" t="str">
        <f>MID($AB91,J$2,2)</f>
        <v>26</v>
      </c>
      <c r="K91" s="12" t="str">
        <f>MID($AB91,K$2,2)</f>
        <v>01</v>
      </c>
      <c r="L91" s="12" t="str">
        <f>MID($AB91,L$2,2)</f>
        <v>00</v>
      </c>
      <c r="M91" s="12" t="str">
        <f>MID($AB91,M$2,2)</f>
        <v>20</v>
      </c>
      <c r="N91" s="12" t="str">
        <f>MID($AB91,N$2,2)</f>
        <v>38</v>
      </c>
      <c r="O91" s="12" t="str">
        <f>MID($AB91,O$2,2)</f>
        <v>08</v>
      </c>
      <c r="P91" s="12" t="str">
        <f>MID($AB91,P$2,2)</f>
        <v>C0</v>
      </c>
      <c r="Q91" s="12" t="str">
        <f>MID($AB91,Q$2,2)</f>
        <v>60</v>
      </c>
      <c r="R91" s="12" t="str">
        <f>MID($AB91,R$2,2)</f>
        <v>7E</v>
      </c>
      <c r="S91" s="12" t="str">
        <f>MID($AB91,S$2,2)</f>
        <v>00</v>
      </c>
      <c r="T91" s="12" t="str">
        <f>MID($AB91,T$2,2)</f>
        <v>00</v>
      </c>
      <c r="U91" s="12" t="str">
        <f>MID($AB91,U$2,2)</f>
        <v>00</v>
      </c>
      <c r="V91" s="12" t="str">
        <f>MID($AB91,V$2,2)</f>
        <v>11</v>
      </c>
      <c r="W91" s="12" t="str">
        <f>MID($AB91,W$2,2)</f>
        <v>00</v>
      </c>
      <c r="X91" s="12" t="str">
        <f>MID($AB91,X$2,2)</f>
        <v>00</v>
      </c>
      <c r="Y91" s="12" t="str">
        <f>MID($AB91,Y$2,2)</f>
        <v>24</v>
      </c>
      <c r="AA91" t="s">
        <v>75</v>
      </c>
      <c r="AB91" t="s">
        <v>78</v>
      </c>
    </row>
    <row r="92" spans="3:28" x14ac:dyDescent="0.25">
      <c r="H92" s="13" t="str">
        <f>HEX2BIN(MID($AB91,H$2,2),8)</f>
        <v>00100011</v>
      </c>
      <c r="I92" s="13" t="str">
        <f>HEX2BIN(MID($AB91,I$2,2),8)</f>
        <v>11001011</v>
      </c>
      <c r="J92" s="13" t="str">
        <f>HEX2BIN(MID($AB91,J$2,2),8)</f>
        <v>00100110</v>
      </c>
      <c r="K92" s="13" t="str">
        <f>HEX2BIN(MID($AB91,K$2,2),8)</f>
        <v>00000001</v>
      </c>
      <c r="L92" s="13" t="str">
        <f>HEX2BIN(MID($AB91,L$2,2),8)</f>
        <v>00000000</v>
      </c>
      <c r="M92" s="13" t="str">
        <f>HEX2BIN(MID($AB91,M$2,2),8)</f>
        <v>00100000</v>
      </c>
      <c r="N92" s="13" t="str">
        <f>HEX2BIN(MID($AB91,N$2,2),8)</f>
        <v>00111000</v>
      </c>
      <c r="O92" s="13" t="str">
        <f>HEX2BIN(MID($AB91,O$2,2),8)</f>
        <v>00001000</v>
      </c>
      <c r="P92" s="13" t="str">
        <f>HEX2BIN(MID($AB91,P$2,2),8)</f>
        <v>11000000</v>
      </c>
      <c r="Q92" s="13" t="str">
        <f>HEX2BIN(MID($AB91,Q$2,2),8)</f>
        <v>01100000</v>
      </c>
      <c r="R92" s="13" t="str">
        <f>HEX2BIN(MID($AB91,R$2,2),8)</f>
        <v>01111110</v>
      </c>
      <c r="S92" s="13" t="str">
        <f>HEX2BIN(MID($AB91,S$2,2),8)</f>
        <v>00000000</v>
      </c>
      <c r="T92" s="13" t="str">
        <f>HEX2BIN(MID($AB91,T$2,2),8)</f>
        <v>00000000</v>
      </c>
      <c r="U92" s="13" t="str">
        <f>HEX2BIN(MID($AB91,U$2,2),8)</f>
        <v>00000000</v>
      </c>
      <c r="V92" s="13" t="str">
        <f>HEX2BIN(MID($AB91,V$2,2),8)</f>
        <v>00010001</v>
      </c>
      <c r="W92" s="13" t="str">
        <f>HEX2BIN(MID($AB91,W$2,2),8)</f>
        <v>00000000</v>
      </c>
      <c r="X92" s="13" t="str">
        <f>HEX2BIN(MID($AB91,X$2,2),8)</f>
        <v>00000000</v>
      </c>
      <c r="Y92" s="13" t="str">
        <f>HEX2BIN(MID($AB91,Y$2,2),8)</f>
        <v>00100100</v>
      </c>
    </row>
    <row r="93" spans="3:28" x14ac:dyDescent="0.25">
      <c r="C93" t="s">
        <v>82</v>
      </c>
      <c r="H93" s="8" t="str">
        <f>MID($AB93,H$2,2)</f>
        <v>23</v>
      </c>
      <c r="I93" s="8" t="str">
        <f>MID($AB93,I$2,2)</f>
        <v>CB</v>
      </c>
      <c r="J93" s="8" t="str">
        <f>MID($AB93,J$2,2)</f>
        <v>26</v>
      </c>
      <c r="K93" s="8" t="str">
        <f>MID($AB93,K$2,2)</f>
        <v>01</v>
      </c>
      <c r="L93" s="8" t="str">
        <f>MID($AB93,L$2,2)</f>
        <v>00</v>
      </c>
      <c r="M93" s="8" t="str">
        <f>MID($AB93,M$2,2)</f>
        <v>20</v>
      </c>
      <c r="N93" s="8" t="str">
        <f>MID($AB93,N$2,2)</f>
        <v>58</v>
      </c>
      <c r="O93" s="8" t="str">
        <f>MID($AB93,O$2,2)</f>
        <v>08</v>
      </c>
      <c r="P93" s="8" t="str">
        <f>MID($AB93,P$2,2)</f>
        <v>C6</v>
      </c>
      <c r="Q93" s="8" t="str">
        <f>MID($AB93,Q$2,2)</f>
        <v>40</v>
      </c>
      <c r="R93" s="8" t="str">
        <f>MID($AB93,R$2,2)</f>
        <v>7F</v>
      </c>
      <c r="S93" s="8" t="str">
        <f>MID($AB93,S$2,2)</f>
        <v>00</v>
      </c>
      <c r="T93" s="8" t="str">
        <f>MID($AB93,T$2,2)</f>
        <v>00</v>
      </c>
      <c r="U93" s="8" t="str">
        <f>MID($AB93,U$2,2)</f>
        <v>00</v>
      </c>
      <c r="V93" s="8" t="str">
        <f>MID($AB93,V$2,2)</f>
        <v>31</v>
      </c>
      <c r="W93" s="8" t="str">
        <f>MID($AB93,W$2,2)</f>
        <v>04</v>
      </c>
      <c r="X93" s="8" t="str">
        <f>MID($AB93,X$2,2)</f>
        <v>00</v>
      </c>
      <c r="Y93" s="8" t="str">
        <f>MID($AB93,Y$2,2)</f>
        <v>4F</v>
      </c>
      <c r="Z93" s="3"/>
      <c r="AA93" t="s">
        <v>83</v>
      </c>
      <c r="AB93" t="s">
        <v>85</v>
      </c>
    </row>
    <row r="94" spans="3:28" x14ac:dyDescent="0.25">
      <c r="H94" s="9" t="str">
        <f>HEX2BIN(MID($AB93,H$2,2),8)</f>
        <v>00100011</v>
      </c>
      <c r="I94" s="9" t="str">
        <f>HEX2BIN(MID($AB93,I$2,2),8)</f>
        <v>11001011</v>
      </c>
      <c r="J94" s="9" t="str">
        <f>HEX2BIN(MID($AB93,J$2,2),8)</f>
        <v>00100110</v>
      </c>
      <c r="K94" s="9" t="str">
        <f>HEX2BIN(MID($AB93,K$2,2),8)</f>
        <v>00000001</v>
      </c>
      <c r="L94" s="9" t="str">
        <f>HEX2BIN(MID($AB93,L$2,2),8)</f>
        <v>00000000</v>
      </c>
      <c r="M94" s="9" t="str">
        <f>HEX2BIN(MID($AB93,M$2,2),8)</f>
        <v>00100000</v>
      </c>
      <c r="N94" s="9" t="str">
        <f>HEX2BIN(MID($AB93,N$2,2),8)</f>
        <v>01011000</v>
      </c>
      <c r="O94" s="9" t="str">
        <f>HEX2BIN(MID($AB93,O$2,2),8)</f>
        <v>00001000</v>
      </c>
      <c r="P94" s="9" t="str">
        <f>HEX2BIN(MID($AB93,P$2,2),8)</f>
        <v>11000110</v>
      </c>
      <c r="Q94" s="9" t="str">
        <f>HEX2BIN(MID($AB93,Q$2,2),8)</f>
        <v>01000000</v>
      </c>
      <c r="R94" s="9" t="str">
        <f>HEX2BIN(MID($AB93,R$2,2),8)</f>
        <v>01111111</v>
      </c>
      <c r="S94" s="9" t="str">
        <f>HEX2BIN(MID($AB93,S$2,2),8)</f>
        <v>00000000</v>
      </c>
      <c r="T94" s="9" t="str">
        <f>HEX2BIN(MID($AB93,T$2,2),8)</f>
        <v>00000000</v>
      </c>
      <c r="U94" s="9" t="str">
        <f>HEX2BIN(MID($AB93,U$2,2),8)</f>
        <v>00000000</v>
      </c>
      <c r="V94" s="9" t="str">
        <f>HEX2BIN(MID($AB93,V$2,2),8)</f>
        <v>00110001</v>
      </c>
      <c r="W94" s="9" t="str">
        <f>HEX2BIN(MID($AB93,W$2,2),8)</f>
        <v>00000100</v>
      </c>
      <c r="X94" s="9" t="str">
        <f>HEX2BIN(MID($AB93,X$2,2),8)</f>
        <v>00000000</v>
      </c>
      <c r="Y94" s="9" t="str">
        <f>HEX2BIN(MID($AB93,Y$2,2),8)</f>
        <v>01001111</v>
      </c>
      <c r="Z94" s="4"/>
    </row>
    <row r="95" spans="3:28" x14ac:dyDescent="0.25">
      <c r="H95" s="8" t="str">
        <f>MID($AB95,H$2,2)</f>
        <v>23</v>
      </c>
      <c r="I95" s="8" t="str">
        <f>MID($AB95,I$2,2)</f>
        <v>CB</v>
      </c>
      <c r="J95" s="8" t="str">
        <f>MID($AB95,J$2,2)</f>
        <v>26</v>
      </c>
      <c r="K95" s="8" t="str">
        <f>MID($AB95,K$2,2)</f>
        <v>01</v>
      </c>
      <c r="L95" s="8" t="str">
        <f>MID($AB95,L$2,2)</f>
        <v>00</v>
      </c>
      <c r="M95" s="8" t="str">
        <f>MID($AB95,M$2,2)</f>
        <v>20</v>
      </c>
      <c r="N95" s="8" t="str">
        <f>MID($AB95,N$2,2)</f>
        <v>58</v>
      </c>
      <c r="O95" s="8" t="str">
        <f>MID($AB95,O$2,2)</f>
        <v>08</v>
      </c>
      <c r="P95" s="8" t="str">
        <f>MID($AB95,P$2,2)</f>
        <v>C6</v>
      </c>
      <c r="Q95" s="8" t="str">
        <f>MID($AB95,Q$2,2)</f>
        <v>60</v>
      </c>
      <c r="R95" s="8" t="str">
        <f>MID($AB95,R$2,2)</f>
        <v>7F</v>
      </c>
      <c r="S95" s="8" t="str">
        <f>MID($AB95,S$2,2)</f>
        <v>00</v>
      </c>
      <c r="T95" s="8" t="str">
        <f>MID($AB95,T$2,2)</f>
        <v>00</v>
      </c>
      <c r="U95" s="8" t="str">
        <f>MID($AB95,U$2,2)</f>
        <v>00</v>
      </c>
      <c r="V95" s="8" t="str">
        <f>MID($AB95,V$2,2)</f>
        <v>11</v>
      </c>
      <c r="W95" s="8" t="str">
        <f>MID($AB95,W$2,2)</f>
        <v>04</v>
      </c>
      <c r="X95" s="8" t="str">
        <f>MID($AB95,X$2,2)</f>
        <v>00</v>
      </c>
      <c r="Y95" s="8" t="str">
        <f>MID($AB95,Y$2,2)</f>
        <v>4F</v>
      </c>
      <c r="Z95" s="3"/>
      <c r="AA95" t="s">
        <v>84</v>
      </c>
      <c r="AB95" t="s">
        <v>86</v>
      </c>
    </row>
    <row r="96" spans="3:28" x14ac:dyDescent="0.25">
      <c r="H96" s="9" t="str">
        <f>HEX2BIN(MID($AB95,H$2,2),8)</f>
        <v>00100011</v>
      </c>
      <c r="I96" s="9" t="str">
        <f>HEX2BIN(MID($AB95,I$2,2),8)</f>
        <v>11001011</v>
      </c>
      <c r="J96" s="9" t="str">
        <f>HEX2BIN(MID($AB95,J$2,2),8)</f>
        <v>00100110</v>
      </c>
      <c r="K96" s="9" t="str">
        <f>HEX2BIN(MID($AB95,K$2,2),8)</f>
        <v>00000001</v>
      </c>
      <c r="L96" s="9" t="str">
        <f>HEX2BIN(MID($AB95,L$2,2),8)</f>
        <v>00000000</v>
      </c>
      <c r="M96" s="9" t="str">
        <f>HEX2BIN(MID($AB95,M$2,2),8)</f>
        <v>00100000</v>
      </c>
      <c r="N96" s="9" t="str">
        <f>HEX2BIN(MID($AB95,N$2,2),8)</f>
        <v>01011000</v>
      </c>
      <c r="O96" s="9" t="str">
        <f>HEX2BIN(MID($AB95,O$2,2),8)</f>
        <v>00001000</v>
      </c>
      <c r="P96" s="9" t="str">
        <f>HEX2BIN(MID($AB95,P$2,2),8)</f>
        <v>11000110</v>
      </c>
      <c r="Q96" s="9" t="str">
        <f>HEX2BIN(MID($AB95,Q$2,2),8)</f>
        <v>01100000</v>
      </c>
      <c r="R96" s="9" t="str">
        <f>HEX2BIN(MID($AB95,R$2,2),8)</f>
        <v>01111111</v>
      </c>
      <c r="S96" s="9" t="str">
        <f>HEX2BIN(MID($AB95,S$2,2),8)</f>
        <v>00000000</v>
      </c>
      <c r="T96" s="9" t="str">
        <f>HEX2BIN(MID($AB95,T$2,2),8)</f>
        <v>00000000</v>
      </c>
      <c r="U96" s="9" t="str">
        <f>HEX2BIN(MID($AB95,U$2,2),8)</f>
        <v>00000000</v>
      </c>
      <c r="V96" s="9" t="str">
        <f>HEX2BIN(MID($AB95,V$2,2),8)</f>
        <v>00010001</v>
      </c>
      <c r="W96" s="9" t="str">
        <f>HEX2BIN(MID($AB95,W$2,2),8)</f>
        <v>00000100</v>
      </c>
      <c r="X96" s="9" t="str">
        <f>HEX2BIN(MID($AB95,X$2,2),8)</f>
        <v>00000000</v>
      </c>
      <c r="Y96" s="9" t="str">
        <f>HEX2BIN(MID($AB95,Y$2,2),8)</f>
        <v>01001111</v>
      </c>
      <c r="Z96" s="4"/>
    </row>
    <row r="97" spans="3:28" x14ac:dyDescent="0.25">
      <c r="H97" s="8" t="str">
        <f>MID($AB97,H$2,2)</f>
        <v>23</v>
      </c>
      <c r="I97" s="8" t="str">
        <f>MID($AB97,I$2,2)</f>
        <v>CB</v>
      </c>
      <c r="J97" s="8" t="str">
        <f>MID($AB97,J$2,2)</f>
        <v>26</v>
      </c>
      <c r="K97" s="8" t="str">
        <f>MID($AB97,K$2,2)</f>
        <v>01</v>
      </c>
      <c r="L97" s="8" t="str">
        <f>MID($AB97,L$2,2)</f>
        <v>00</v>
      </c>
      <c r="M97" s="8" t="str">
        <f>MID($AB97,M$2,2)</f>
        <v>20</v>
      </c>
      <c r="N97" s="8" t="str">
        <f>MID($AB97,N$2,2)</f>
        <v>58</v>
      </c>
      <c r="O97" s="8" t="str">
        <f>MID($AB97,O$2,2)</f>
        <v>08</v>
      </c>
      <c r="P97" s="8" t="str">
        <f>MID($AB97,P$2,2)</f>
        <v>C6</v>
      </c>
      <c r="Q97" s="8" t="str">
        <f>MID($AB97,Q$2,2)</f>
        <v>40</v>
      </c>
      <c r="R97" s="8" t="str">
        <f>MID($AB97,R$2,2)</f>
        <v>7F</v>
      </c>
      <c r="S97" s="8" t="str">
        <f>MID($AB97,S$2,2)</f>
        <v>00</v>
      </c>
      <c r="T97" s="8" t="str">
        <f>MID($AB97,T$2,2)</f>
        <v>00</v>
      </c>
      <c r="U97" s="8" t="str">
        <f>MID($AB97,U$2,2)</f>
        <v>00</v>
      </c>
      <c r="V97" s="8" t="str">
        <f>MID($AB97,V$2,2)</f>
        <v>31</v>
      </c>
      <c r="W97" s="8" t="str">
        <f>MID($AB97,W$2,2)</f>
        <v>04</v>
      </c>
      <c r="X97" s="8" t="str">
        <f>MID($AB97,X$2,2)</f>
        <v>00</v>
      </c>
      <c r="Y97" s="8" t="str">
        <f>MID($AB97,Y$2,2)</f>
        <v>4F</v>
      </c>
      <c r="Z97" s="3"/>
      <c r="AA97" t="s">
        <v>83</v>
      </c>
      <c r="AB97" t="s">
        <v>85</v>
      </c>
    </row>
    <row r="98" spans="3:28" x14ac:dyDescent="0.25">
      <c r="H98" s="9" t="str">
        <f>HEX2BIN(MID($AB97,H$2,2),8)</f>
        <v>00100011</v>
      </c>
      <c r="I98" s="9" t="str">
        <f>HEX2BIN(MID($AB97,I$2,2),8)</f>
        <v>11001011</v>
      </c>
      <c r="J98" s="9" t="str">
        <f>HEX2BIN(MID($AB97,J$2,2),8)</f>
        <v>00100110</v>
      </c>
      <c r="K98" s="9" t="str">
        <f>HEX2BIN(MID($AB97,K$2,2),8)</f>
        <v>00000001</v>
      </c>
      <c r="L98" s="9" t="str">
        <f>HEX2BIN(MID($AB97,L$2,2),8)</f>
        <v>00000000</v>
      </c>
      <c r="M98" s="9" t="str">
        <f>HEX2BIN(MID($AB97,M$2,2),8)</f>
        <v>00100000</v>
      </c>
      <c r="N98" s="9" t="str">
        <f>HEX2BIN(MID($AB97,N$2,2),8)</f>
        <v>01011000</v>
      </c>
      <c r="O98" s="9" t="str">
        <f>HEX2BIN(MID($AB97,O$2,2),8)</f>
        <v>00001000</v>
      </c>
      <c r="P98" s="9" t="str">
        <f>HEX2BIN(MID($AB97,P$2,2),8)</f>
        <v>11000110</v>
      </c>
      <c r="Q98" s="9" t="str">
        <f>HEX2BIN(MID($AB97,Q$2,2),8)</f>
        <v>01000000</v>
      </c>
      <c r="R98" s="9" t="str">
        <f>HEX2BIN(MID($AB97,R$2,2),8)</f>
        <v>01111111</v>
      </c>
      <c r="S98" s="9" t="str">
        <f>HEX2BIN(MID($AB97,S$2,2),8)</f>
        <v>00000000</v>
      </c>
      <c r="T98" s="9" t="str">
        <f>HEX2BIN(MID($AB97,T$2,2),8)</f>
        <v>00000000</v>
      </c>
      <c r="U98" s="9" t="str">
        <f>HEX2BIN(MID($AB97,U$2,2),8)</f>
        <v>00000000</v>
      </c>
      <c r="V98" s="9" t="str">
        <f>HEX2BIN(MID($AB97,V$2,2),8)</f>
        <v>00110001</v>
      </c>
      <c r="W98" s="9" t="str">
        <f>HEX2BIN(MID($AB97,W$2,2),8)</f>
        <v>00000100</v>
      </c>
      <c r="X98" s="9" t="str">
        <f>HEX2BIN(MID($AB97,X$2,2),8)</f>
        <v>00000000</v>
      </c>
      <c r="Y98" s="9" t="str">
        <f>HEX2BIN(MID($AB97,Y$2,2),8)</f>
        <v>01001111</v>
      </c>
      <c r="Z98" s="4"/>
    </row>
    <row r="99" spans="3:28" x14ac:dyDescent="0.25">
      <c r="H99" s="8" t="str">
        <f>MID($AB99,H$2,2)</f>
        <v>23</v>
      </c>
      <c r="I99" s="8" t="str">
        <f>MID($AB99,I$2,2)</f>
        <v>CB</v>
      </c>
      <c r="J99" s="8" t="str">
        <f>MID($AB99,J$2,2)</f>
        <v>26</v>
      </c>
      <c r="K99" s="8" t="str">
        <f>MID($AB99,K$2,2)</f>
        <v>01</v>
      </c>
      <c r="L99" s="8" t="str">
        <f>MID($AB99,L$2,2)</f>
        <v>00</v>
      </c>
      <c r="M99" s="8" t="str">
        <f>MID($AB99,M$2,2)</f>
        <v>20</v>
      </c>
      <c r="N99" s="8" t="str">
        <f>MID($AB99,N$2,2)</f>
        <v>58</v>
      </c>
      <c r="O99" s="8" t="str">
        <f>MID($AB99,O$2,2)</f>
        <v>08</v>
      </c>
      <c r="P99" s="8" t="str">
        <f>MID($AB99,P$2,2)</f>
        <v>C6</v>
      </c>
      <c r="Q99" s="8" t="str">
        <f>MID($AB99,Q$2,2)</f>
        <v>60</v>
      </c>
      <c r="R99" s="8" t="str">
        <f>MID($AB99,R$2,2)</f>
        <v>7F</v>
      </c>
      <c r="S99" s="8" t="str">
        <f>MID($AB99,S$2,2)</f>
        <v>00</v>
      </c>
      <c r="T99" s="8" t="str">
        <f>MID($AB99,T$2,2)</f>
        <v>00</v>
      </c>
      <c r="U99" s="8" t="str">
        <f>MID($AB99,U$2,2)</f>
        <v>00</v>
      </c>
      <c r="V99" s="8" t="str">
        <f>MID($AB99,V$2,2)</f>
        <v>11</v>
      </c>
      <c r="W99" s="8" t="str">
        <f>MID($AB99,W$2,2)</f>
        <v>04</v>
      </c>
      <c r="X99" s="8" t="str">
        <f>MID($AB99,X$2,2)</f>
        <v>00</v>
      </c>
      <c r="Y99" s="8" t="str">
        <f>MID($AB99,Y$2,2)</f>
        <v>4F</v>
      </c>
      <c r="Z99" s="3"/>
      <c r="AA99" t="s">
        <v>84</v>
      </c>
      <c r="AB99" t="s">
        <v>86</v>
      </c>
    </row>
    <row r="100" spans="3:28" x14ac:dyDescent="0.25">
      <c r="H100" s="9" t="str">
        <f>HEX2BIN(MID($AB99,H$2,2),8)</f>
        <v>00100011</v>
      </c>
      <c r="I100" s="9" t="str">
        <f>HEX2BIN(MID($AB99,I$2,2),8)</f>
        <v>11001011</v>
      </c>
      <c r="J100" s="9" t="str">
        <f>HEX2BIN(MID($AB99,J$2,2),8)</f>
        <v>00100110</v>
      </c>
      <c r="K100" s="9" t="str">
        <f>HEX2BIN(MID($AB99,K$2,2),8)</f>
        <v>00000001</v>
      </c>
      <c r="L100" s="9" t="str">
        <f>HEX2BIN(MID($AB99,L$2,2),8)</f>
        <v>00000000</v>
      </c>
      <c r="M100" s="9" t="str">
        <f>HEX2BIN(MID($AB99,M$2,2),8)</f>
        <v>00100000</v>
      </c>
      <c r="N100" s="9" t="str">
        <f>HEX2BIN(MID($AB99,N$2,2),8)</f>
        <v>01011000</v>
      </c>
      <c r="O100" s="9" t="str">
        <f>HEX2BIN(MID($AB99,O$2,2),8)</f>
        <v>00001000</v>
      </c>
      <c r="P100" s="9" t="str">
        <f>HEX2BIN(MID($AB99,P$2,2),8)</f>
        <v>11000110</v>
      </c>
      <c r="Q100" s="9" t="str">
        <f>HEX2BIN(MID($AB99,Q$2,2),8)</f>
        <v>01100000</v>
      </c>
      <c r="R100" s="9" t="str">
        <f>HEX2BIN(MID($AB99,R$2,2),8)</f>
        <v>01111111</v>
      </c>
      <c r="S100" s="9" t="str">
        <f>HEX2BIN(MID($AB99,S$2,2),8)</f>
        <v>00000000</v>
      </c>
      <c r="T100" s="9" t="str">
        <f>HEX2BIN(MID($AB99,T$2,2),8)</f>
        <v>00000000</v>
      </c>
      <c r="U100" s="9" t="str">
        <f>HEX2BIN(MID($AB99,U$2,2),8)</f>
        <v>00000000</v>
      </c>
      <c r="V100" s="9" t="str">
        <f>HEX2BIN(MID($AB99,V$2,2),8)</f>
        <v>00010001</v>
      </c>
      <c r="W100" s="9" t="str">
        <f>HEX2BIN(MID($AB99,W$2,2),8)</f>
        <v>00000100</v>
      </c>
      <c r="X100" s="9" t="str">
        <f>HEX2BIN(MID($AB99,X$2,2),8)</f>
        <v>00000000</v>
      </c>
      <c r="Y100" s="9" t="str">
        <f>HEX2BIN(MID($AB99,Y$2,2),8)</f>
        <v>01001111</v>
      </c>
      <c r="Z100" s="4"/>
    </row>
    <row r="101" spans="3:28" x14ac:dyDescent="0.25">
      <c r="C101" t="s">
        <v>88</v>
      </c>
      <c r="H101" s="12" t="str">
        <f>MID($AB101,H$2,2)</f>
        <v>23</v>
      </c>
      <c r="I101" s="12" t="str">
        <f>MID($AB101,I$2,2)</f>
        <v>CB</v>
      </c>
      <c r="J101" s="12" t="str">
        <f>MID($AB101,J$2,2)</f>
        <v>26</v>
      </c>
      <c r="K101" s="12" t="str">
        <f>MID($AB101,K$2,2)</f>
        <v>01</v>
      </c>
      <c r="L101" s="12" t="str">
        <f>MID($AB101,L$2,2)</f>
        <v>00</v>
      </c>
      <c r="M101" s="12" t="str">
        <f>MID($AB101,M$2,2)</f>
        <v>20</v>
      </c>
      <c r="N101" s="12" t="str">
        <f>MID($AB101,N$2,2)</f>
        <v>58</v>
      </c>
      <c r="O101" s="12" t="str">
        <f>MID($AB101,O$2,2)</f>
        <v>08</v>
      </c>
      <c r="P101" s="12" t="str">
        <f>MID($AB101,P$2,2)</f>
        <v>C6</v>
      </c>
      <c r="Q101" s="12" t="str">
        <f>MID($AB101,Q$2,2)</f>
        <v>60</v>
      </c>
      <c r="R101" s="12" t="str">
        <f>MID($AB101,R$2,2)</f>
        <v>7F</v>
      </c>
      <c r="S101" s="12" t="str">
        <f>MID($AB101,S$2,2)</f>
        <v>00</v>
      </c>
      <c r="T101" s="12" t="str">
        <f>MID($AB101,T$2,2)</f>
        <v>00</v>
      </c>
      <c r="U101" s="12" t="str">
        <f>MID($AB101,U$2,2)</f>
        <v>08</v>
      </c>
      <c r="V101" s="12" t="str">
        <f>MID($AB101,V$2,2)</f>
        <v>11</v>
      </c>
      <c r="W101" s="12" t="str">
        <f>MID($AB101,W$2,2)</f>
        <v>04</v>
      </c>
      <c r="X101" s="12" t="str">
        <f>MID($AB101,X$2,2)</f>
        <v>00</v>
      </c>
      <c r="Y101" s="12" t="str">
        <f>MID($AB101,Y$2,2)</f>
        <v>57</v>
      </c>
      <c r="AA101" t="s">
        <v>89</v>
      </c>
      <c r="AB101" t="s">
        <v>91</v>
      </c>
    </row>
    <row r="102" spans="3:28" x14ac:dyDescent="0.25">
      <c r="H102" s="13" t="str">
        <f>HEX2BIN(MID($AB101,H$2,2),8)</f>
        <v>00100011</v>
      </c>
      <c r="I102" s="13" t="str">
        <f>HEX2BIN(MID($AB101,I$2,2),8)</f>
        <v>11001011</v>
      </c>
      <c r="J102" s="13" t="str">
        <f>HEX2BIN(MID($AB101,J$2,2),8)</f>
        <v>00100110</v>
      </c>
      <c r="K102" s="13" t="str">
        <f>HEX2BIN(MID($AB101,K$2,2),8)</f>
        <v>00000001</v>
      </c>
      <c r="L102" s="13" t="str">
        <f>HEX2BIN(MID($AB101,L$2,2),8)</f>
        <v>00000000</v>
      </c>
      <c r="M102" s="13" t="str">
        <f>HEX2BIN(MID($AB101,M$2,2),8)</f>
        <v>00100000</v>
      </c>
      <c r="N102" s="13" t="str">
        <f>HEX2BIN(MID($AB101,N$2,2),8)</f>
        <v>01011000</v>
      </c>
      <c r="O102" s="13" t="str">
        <f>HEX2BIN(MID($AB101,O$2,2),8)</f>
        <v>00001000</v>
      </c>
      <c r="P102" s="13" t="str">
        <f>HEX2BIN(MID($AB101,P$2,2),8)</f>
        <v>11000110</v>
      </c>
      <c r="Q102" s="13" t="str">
        <f>HEX2BIN(MID($AB101,Q$2,2),8)</f>
        <v>01100000</v>
      </c>
      <c r="R102" s="13" t="str">
        <f>HEX2BIN(MID($AB101,R$2,2),8)</f>
        <v>01111111</v>
      </c>
      <c r="S102" s="13" t="str">
        <f>HEX2BIN(MID($AB101,S$2,2),8)</f>
        <v>00000000</v>
      </c>
      <c r="T102" s="13" t="str">
        <f>HEX2BIN(MID($AB101,T$2,2),8)</f>
        <v>00000000</v>
      </c>
      <c r="U102" s="13" t="str">
        <f>HEX2BIN(MID($AB101,U$2,2),8)</f>
        <v>00001000</v>
      </c>
      <c r="V102" s="13" t="str">
        <f>HEX2BIN(MID($AB101,V$2,2),8)</f>
        <v>00010001</v>
      </c>
      <c r="W102" s="13" t="str">
        <f>HEX2BIN(MID($AB101,W$2,2),8)</f>
        <v>00000100</v>
      </c>
      <c r="X102" s="13" t="str">
        <f>HEX2BIN(MID($AB101,X$2,2),8)</f>
        <v>00000000</v>
      </c>
      <c r="Y102" s="13" t="str">
        <f>HEX2BIN(MID($AB101,Y$2,2),8)</f>
        <v>01010111</v>
      </c>
    </row>
    <row r="103" spans="3:28" x14ac:dyDescent="0.25">
      <c r="H103" s="12" t="str">
        <f>MID($AB103,H$2,2)</f>
        <v>23</v>
      </c>
      <c r="I103" s="12" t="str">
        <f>MID($AB103,I$2,2)</f>
        <v>CB</v>
      </c>
      <c r="J103" s="12" t="str">
        <f>MID($AB103,J$2,2)</f>
        <v>26</v>
      </c>
      <c r="K103" s="12" t="str">
        <f>MID($AB103,K$2,2)</f>
        <v>01</v>
      </c>
      <c r="L103" s="12" t="str">
        <f>MID($AB103,L$2,2)</f>
        <v>00</v>
      </c>
      <c r="M103" s="12" t="str">
        <f>MID($AB103,M$2,2)</f>
        <v>20</v>
      </c>
      <c r="N103" s="12" t="str">
        <f>MID($AB103,N$2,2)</f>
        <v>58</v>
      </c>
      <c r="O103" s="12" t="str">
        <f>MID($AB103,O$2,2)</f>
        <v>08</v>
      </c>
      <c r="P103" s="12" t="str">
        <f>MID($AB103,P$2,2)</f>
        <v>C6</v>
      </c>
      <c r="Q103" s="12" t="str">
        <f>MID($AB103,Q$2,2)</f>
        <v>60</v>
      </c>
      <c r="R103" s="12" t="str">
        <f>MID($AB103,R$2,2)</f>
        <v>7F</v>
      </c>
      <c r="S103" s="12" t="str">
        <f>MID($AB103,S$2,2)</f>
        <v>00</v>
      </c>
      <c r="T103" s="12" t="str">
        <f>MID($AB103,T$2,2)</f>
        <v>00</v>
      </c>
      <c r="U103" s="12" t="str">
        <f>MID($AB103,U$2,2)</f>
        <v>00</v>
      </c>
      <c r="V103" s="12" t="str">
        <f>MID($AB103,V$2,2)</f>
        <v>11</v>
      </c>
      <c r="W103" s="12" t="str">
        <f>MID($AB103,W$2,2)</f>
        <v>04</v>
      </c>
      <c r="X103" s="12" t="str">
        <f>MID($AB103,X$2,2)</f>
        <v>00</v>
      </c>
      <c r="Y103" s="12" t="str">
        <f>MID($AB103,Y$2,2)</f>
        <v>4F</v>
      </c>
      <c r="AA103" t="s">
        <v>90</v>
      </c>
      <c r="AB103" t="s">
        <v>86</v>
      </c>
    </row>
    <row r="104" spans="3:28" x14ac:dyDescent="0.25">
      <c r="H104" s="13" t="str">
        <f>HEX2BIN(MID($AB103,H$2,2),8)</f>
        <v>00100011</v>
      </c>
      <c r="I104" s="13" t="str">
        <f>HEX2BIN(MID($AB103,I$2,2),8)</f>
        <v>11001011</v>
      </c>
      <c r="J104" s="13" t="str">
        <f>HEX2BIN(MID($AB103,J$2,2),8)</f>
        <v>00100110</v>
      </c>
      <c r="K104" s="13" t="str">
        <f>HEX2BIN(MID($AB103,K$2,2),8)</f>
        <v>00000001</v>
      </c>
      <c r="L104" s="13" t="str">
        <f>HEX2BIN(MID($AB103,L$2,2),8)</f>
        <v>00000000</v>
      </c>
      <c r="M104" s="13" t="str">
        <f>HEX2BIN(MID($AB103,M$2,2),8)</f>
        <v>00100000</v>
      </c>
      <c r="N104" s="13" t="str">
        <f>HEX2BIN(MID($AB103,N$2,2),8)</f>
        <v>01011000</v>
      </c>
      <c r="O104" s="13" t="str">
        <f>HEX2BIN(MID($AB103,O$2,2),8)</f>
        <v>00001000</v>
      </c>
      <c r="P104" s="13" t="str">
        <f>HEX2BIN(MID($AB103,P$2,2),8)</f>
        <v>11000110</v>
      </c>
      <c r="Q104" s="13" t="str">
        <f>HEX2BIN(MID($AB103,Q$2,2),8)</f>
        <v>01100000</v>
      </c>
      <c r="R104" s="13" t="str">
        <f>HEX2BIN(MID($AB103,R$2,2),8)</f>
        <v>01111111</v>
      </c>
      <c r="S104" s="13" t="str">
        <f>HEX2BIN(MID($AB103,S$2,2),8)</f>
        <v>00000000</v>
      </c>
      <c r="T104" s="13" t="str">
        <f>HEX2BIN(MID($AB103,T$2,2),8)</f>
        <v>00000000</v>
      </c>
      <c r="U104" s="13" t="str">
        <f>HEX2BIN(MID($AB103,U$2,2),8)</f>
        <v>00000000</v>
      </c>
      <c r="V104" s="13" t="str">
        <f>HEX2BIN(MID($AB103,V$2,2),8)</f>
        <v>00010001</v>
      </c>
      <c r="W104" s="13" t="str">
        <f>HEX2BIN(MID($AB103,W$2,2),8)</f>
        <v>00000100</v>
      </c>
      <c r="X104" s="13" t="str">
        <f>HEX2BIN(MID($AB103,X$2,2),8)</f>
        <v>00000000</v>
      </c>
      <c r="Y104" s="13" t="str">
        <f>HEX2BIN(MID($AB103,Y$2,2),8)</f>
        <v>01001111</v>
      </c>
    </row>
    <row r="105" spans="3:28" x14ac:dyDescent="0.25">
      <c r="H105" s="12" t="str">
        <f>MID($AB105,H$2,2)</f>
        <v>23</v>
      </c>
      <c r="I105" s="12" t="str">
        <f>MID($AB105,I$2,2)</f>
        <v>CB</v>
      </c>
      <c r="J105" s="12" t="str">
        <f>MID($AB105,J$2,2)</f>
        <v>26</v>
      </c>
      <c r="K105" s="12" t="str">
        <f>MID($AB105,K$2,2)</f>
        <v>01</v>
      </c>
      <c r="L105" s="12" t="str">
        <f>MID($AB105,L$2,2)</f>
        <v>00</v>
      </c>
      <c r="M105" s="12" t="str">
        <f>MID($AB105,M$2,2)</f>
        <v>20</v>
      </c>
      <c r="N105" s="12" t="str">
        <f>MID($AB105,N$2,2)</f>
        <v>58</v>
      </c>
      <c r="O105" s="12" t="str">
        <f>MID($AB105,O$2,2)</f>
        <v>08</v>
      </c>
      <c r="P105" s="12" t="str">
        <f>MID($AB105,P$2,2)</f>
        <v>C6</v>
      </c>
      <c r="Q105" s="12" t="str">
        <f>MID($AB105,Q$2,2)</f>
        <v>60</v>
      </c>
      <c r="R105" s="12" t="str">
        <f>MID($AB105,R$2,2)</f>
        <v>7F</v>
      </c>
      <c r="S105" s="12" t="str">
        <f>MID($AB105,S$2,2)</f>
        <v>00</v>
      </c>
      <c r="T105" s="12" t="str">
        <f>MID($AB105,T$2,2)</f>
        <v>00</v>
      </c>
      <c r="U105" s="12" t="str">
        <f>MID($AB105,U$2,2)</f>
        <v>08</v>
      </c>
      <c r="V105" s="12" t="str">
        <f>MID($AB105,V$2,2)</f>
        <v>11</v>
      </c>
      <c r="W105" s="12" t="str">
        <f>MID($AB105,W$2,2)</f>
        <v>04</v>
      </c>
      <c r="X105" s="12" t="str">
        <f>MID($AB105,X$2,2)</f>
        <v>00</v>
      </c>
      <c r="Y105" s="12" t="str">
        <f>MID($AB105,Y$2,2)</f>
        <v>57</v>
      </c>
      <c r="AA105" t="s">
        <v>89</v>
      </c>
      <c r="AB105" t="s">
        <v>91</v>
      </c>
    </row>
    <row r="106" spans="3:28" x14ac:dyDescent="0.25">
      <c r="H106" s="13" t="str">
        <f>HEX2BIN(MID($AB105,H$2,2),8)</f>
        <v>00100011</v>
      </c>
      <c r="I106" s="13" t="str">
        <f>HEX2BIN(MID($AB105,I$2,2),8)</f>
        <v>11001011</v>
      </c>
      <c r="J106" s="13" t="str">
        <f>HEX2BIN(MID($AB105,J$2,2),8)</f>
        <v>00100110</v>
      </c>
      <c r="K106" s="13" t="str">
        <f>HEX2BIN(MID($AB105,K$2,2),8)</f>
        <v>00000001</v>
      </c>
      <c r="L106" s="13" t="str">
        <f>HEX2BIN(MID($AB105,L$2,2),8)</f>
        <v>00000000</v>
      </c>
      <c r="M106" s="13" t="str">
        <f>HEX2BIN(MID($AB105,M$2,2),8)</f>
        <v>00100000</v>
      </c>
      <c r="N106" s="13" t="str">
        <f>HEX2BIN(MID($AB105,N$2,2),8)</f>
        <v>01011000</v>
      </c>
      <c r="O106" s="13" t="str">
        <f>HEX2BIN(MID($AB105,O$2,2),8)</f>
        <v>00001000</v>
      </c>
      <c r="P106" s="13" t="str">
        <f>HEX2BIN(MID($AB105,P$2,2),8)</f>
        <v>11000110</v>
      </c>
      <c r="Q106" s="13" t="str">
        <f>HEX2BIN(MID($AB105,Q$2,2),8)</f>
        <v>01100000</v>
      </c>
      <c r="R106" s="13" t="str">
        <f>HEX2BIN(MID($AB105,R$2,2),8)</f>
        <v>01111111</v>
      </c>
      <c r="S106" s="13" t="str">
        <f>HEX2BIN(MID($AB105,S$2,2),8)</f>
        <v>00000000</v>
      </c>
      <c r="T106" s="13" t="str">
        <f>HEX2BIN(MID($AB105,T$2,2),8)</f>
        <v>00000000</v>
      </c>
      <c r="U106" s="13" t="str">
        <f>HEX2BIN(MID($AB105,U$2,2),8)</f>
        <v>00001000</v>
      </c>
      <c r="V106" s="13" t="str">
        <f>HEX2BIN(MID($AB105,V$2,2),8)</f>
        <v>00010001</v>
      </c>
      <c r="W106" s="13" t="str">
        <f>HEX2BIN(MID($AB105,W$2,2),8)</f>
        <v>00000100</v>
      </c>
      <c r="X106" s="13" t="str">
        <f>HEX2BIN(MID($AB105,X$2,2),8)</f>
        <v>00000000</v>
      </c>
      <c r="Y106" s="13" t="str">
        <f>HEX2BIN(MID($AB105,Y$2,2),8)</f>
        <v>01010111</v>
      </c>
    </row>
    <row r="107" spans="3:28" x14ac:dyDescent="0.25">
      <c r="H107" s="12" t="str">
        <f>MID($AB107,H$2,2)</f>
        <v>23</v>
      </c>
      <c r="I107" s="12" t="str">
        <f>MID($AB107,I$2,2)</f>
        <v>CB</v>
      </c>
      <c r="J107" s="12" t="str">
        <f>MID($AB107,J$2,2)</f>
        <v>26</v>
      </c>
      <c r="K107" s="12" t="str">
        <f>MID($AB107,K$2,2)</f>
        <v>01</v>
      </c>
      <c r="L107" s="12" t="str">
        <f>MID($AB107,L$2,2)</f>
        <v>00</v>
      </c>
      <c r="M107" s="12" t="str">
        <f>MID($AB107,M$2,2)</f>
        <v>20</v>
      </c>
      <c r="N107" s="12" t="str">
        <f>MID($AB107,N$2,2)</f>
        <v>58</v>
      </c>
      <c r="O107" s="12" t="str">
        <f>MID($AB107,O$2,2)</f>
        <v>08</v>
      </c>
      <c r="P107" s="12" t="str">
        <f>MID($AB107,P$2,2)</f>
        <v>C6</v>
      </c>
      <c r="Q107" s="12" t="str">
        <f>MID($AB107,Q$2,2)</f>
        <v>60</v>
      </c>
      <c r="R107" s="12" t="str">
        <f>MID($AB107,R$2,2)</f>
        <v>7F</v>
      </c>
      <c r="S107" s="12" t="str">
        <f>MID($AB107,S$2,2)</f>
        <v>00</v>
      </c>
      <c r="T107" s="12" t="str">
        <f>MID($AB107,T$2,2)</f>
        <v>00</v>
      </c>
      <c r="U107" s="12" t="str">
        <f>MID($AB107,U$2,2)</f>
        <v>00</v>
      </c>
      <c r="V107" s="12" t="str">
        <f>MID($AB107,V$2,2)</f>
        <v>11</v>
      </c>
      <c r="W107" s="12" t="str">
        <f>MID($AB107,W$2,2)</f>
        <v>04</v>
      </c>
      <c r="X107" s="12" t="str">
        <f>MID($AB107,X$2,2)</f>
        <v>00</v>
      </c>
      <c r="Y107" s="12" t="str">
        <f>MID($AB107,Y$2,2)</f>
        <v>4F</v>
      </c>
      <c r="AA107" t="s">
        <v>90</v>
      </c>
      <c r="AB107" t="s">
        <v>86</v>
      </c>
    </row>
    <row r="108" spans="3:28" x14ac:dyDescent="0.25">
      <c r="H108" s="13" t="str">
        <f>HEX2BIN(MID($AB107,H$2,2),8)</f>
        <v>00100011</v>
      </c>
      <c r="I108" s="13" t="str">
        <f>HEX2BIN(MID($AB107,I$2,2),8)</f>
        <v>11001011</v>
      </c>
      <c r="J108" s="13" t="str">
        <f>HEX2BIN(MID($AB107,J$2,2),8)</f>
        <v>00100110</v>
      </c>
      <c r="K108" s="13" t="str">
        <f>HEX2BIN(MID($AB107,K$2,2),8)</f>
        <v>00000001</v>
      </c>
      <c r="L108" s="13" t="str">
        <f>HEX2BIN(MID($AB107,L$2,2),8)</f>
        <v>00000000</v>
      </c>
      <c r="M108" s="13" t="str">
        <f>HEX2BIN(MID($AB107,M$2,2),8)</f>
        <v>00100000</v>
      </c>
      <c r="N108" s="13" t="str">
        <f>HEX2BIN(MID($AB107,N$2,2),8)</f>
        <v>01011000</v>
      </c>
      <c r="O108" s="13" t="str">
        <f>HEX2BIN(MID($AB107,O$2,2),8)</f>
        <v>00001000</v>
      </c>
      <c r="P108" s="13" t="str">
        <f>HEX2BIN(MID($AB107,P$2,2),8)</f>
        <v>11000110</v>
      </c>
      <c r="Q108" s="13" t="str">
        <f>HEX2BIN(MID($AB107,Q$2,2),8)</f>
        <v>01100000</v>
      </c>
      <c r="R108" s="13" t="str">
        <f>HEX2BIN(MID($AB107,R$2,2),8)</f>
        <v>01111111</v>
      </c>
      <c r="S108" s="13" t="str">
        <f>HEX2BIN(MID($AB107,S$2,2),8)</f>
        <v>00000000</v>
      </c>
      <c r="T108" s="13" t="str">
        <f>HEX2BIN(MID($AB107,T$2,2),8)</f>
        <v>00000000</v>
      </c>
      <c r="U108" s="13" t="str">
        <f>HEX2BIN(MID($AB107,U$2,2),8)</f>
        <v>00000000</v>
      </c>
      <c r="V108" s="13" t="str">
        <f>HEX2BIN(MID($AB107,V$2,2),8)</f>
        <v>00010001</v>
      </c>
      <c r="W108" s="13" t="str">
        <f>HEX2BIN(MID($AB107,W$2,2),8)</f>
        <v>00000100</v>
      </c>
      <c r="X108" s="13" t="str">
        <f>HEX2BIN(MID($AB107,X$2,2),8)</f>
        <v>00000000</v>
      </c>
      <c r="Y108" s="13" t="str">
        <f>HEX2BIN(MID($AB107,Y$2,2),8)</f>
        <v>01001111</v>
      </c>
    </row>
    <row r="109" spans="3:28" x14ac:dyDescent="0.25">
      <c r="H109" s="8" t="str">
        <f>MID($AB109,H$2,2)</f>
        <v>23</v>
      </c>
      <c r="I109" s="8" t="str">
        <f>MID($AB109,I$2,2)</f>
        <v>CB</v>
      </c>
      <c r="J109" s="8" t="str">
        <f>MID($AB109,J$2,2)</f>
        <v>26</v>
      </c>
      <c r="K109" s="8" t="str">
        <f>MID($AB109,K$2,2)</f>
        <v>01</v>
      </c>
      <c r="L109" s="8" t="str">
        <f>MID($AB109,L$2,2)</f>
        <v>00</v>
      </c>
      <c r="M109" s="8" t="str">
        <f>MID($AB109,M$2,2)</f>
        <v>20</v>
      </c>
      <c r="N109" s="8" t="str">
        <f>MID($AB109,N$2,2)</f>
        <v>48</v>
      </c>
      <c r="O109" s="8" t="str">
        <f>MID($AB109,O$2,2)</f>
        <v>00</v>
      </c>
      <c r="P109" s="8" t="str">
        <f>MID($AB109,P$2,2)</f>
        <v>C0</v>
      </c>
      <c r="Q109" s="8" t="str">
        <f>MID($AB109,Q$2,2)</f>
        <v>78</v>
      </c>
      <c r="R109" s="8" t="str">
        <f>MID($AB109,R$2,2)</f>
        <v>3F</v>
      </c>
      <c r="S109" s="8" t="str">
        <f>MID($AB109,S$2,2)</f>
        <v>00</v>
      </c>
      <c r="T109" s="8" t="str">
        <f>MID($AB109,T$2,2)</f>
        <v>00</v>
      </c>
      <c r="U109" s="8" t="str">
        <f>MID($AB109,U$2,2)</f>
        <v>00</v>
      </c>
      <c r="V109" s="8" t="str">
        <f>MID($AB109,V$2,2)</f>
        <v>92</v>
      </c>
      <c r="W109" s="17" t="str">
        <f>MID($AB109,W$2,2)</f>
        <v>04</v>
      </c>
      <c r="X109" s="8" t="str">
        <f>MID($AB109,X$2,2)</f>
        <v>38</v>
      </c>
      <c r="Y109" s="8" t="str">
        <f>MID($AB109,Y$2,2)</f>
        <v>C2</v>
      </c>
      <c r="AA109" t="s">
        <v>98</v>
      </c>
      <c r="AB109" t="s">
        <v>103</v>
      </c>
    </row>
    <row r="110" spans="3:28" x14ac:dyDescent="0.25">
      <c r="H110" s="9" t="str">
        <f>HEX2BIN(MID($AB109,H$2,2),8)</f>
        <v>00100011</v>
      </c>
      <c r="I110" s="9" t="str">
        <f>HEX2BIN(MID($AB109,I$2,2),8)</f>
        <v>11001011</v>
      </c>
      <c r="J110" s="9" t="str">
        <f>HEX2BIN(MID($AB109,J$2,2),8)</f>
        <v>00100110</v>
      </c>
      <c r="K110" s="9" t="str">
        <f>HEX2BIN(MID($AB109,K$2,2),8)</f>
        <v>00000001</v>
      </c>
      <c r="L110" s="9" t="str">
        <f>HEX2BIN(MID($AB109,L$2,2),8)</f>
        <v>00000000</v>
      </c>
      <c r="M110" s="9" t="str">
        <f>HEX2BIN(MID($AB109,M$2,2),8)</f>
        <v>00100000</v>
      </c>
      <c r="N110" s="9" t="str">
        <f>HEX2BIN(MID($AB109,N$2,2),8)</f>
        <v>01001000</v>
      </c>
      <c r="O110" s="9" t="str">
        <f>HEX2BIN(MID($AB109,O$2,2),8)</f>
        <v>00000000</v>
      </c>
      <c r="P110" s="9" t="str">
        <f>HEX2BIN(MID($AB109,P$2,2),8)</f>
        <v>11000000</v>
      </c>
      <c r="Q110" s="9" t="str">
        <f>HEX2BIN(MID($AB109,Q$2,2),8)</f>
        <v>01111000</v>
      </c>
      <c r="R110" s="9" t="str">
        <f>HEX2BIN(MID($AB109,R$2,2),8)</f>
        <v>00111111</v>
      </c>
      <c r="S110" s="9" t="str">
        <f>HEX2BIN(MID($AB109,S$2,2),8)</f>
        <v>00000000</v>
      </c>
      <c r="T110" s="9" t="str">
        <f>HEX2BIN(MID($AB109,T$2,2),8)</f>
        <v>00000000</v>
      </c>
      <c r="U110" s="9" t="str">
        <f>HEX2BIN(MID($AB109,U$2,2),8)</f>
        <v>00000000</v>
      </c>
      <c r="V110" s="9" t="str">
        <f>HEX2BIN(MID($AB109,V$2,2),8)</f>
        <v>10010010</v>
      </c>
      <c r="W110" s="18" t="str">
        <f>HEX2BIN(MID($AB109,W$2,2),8)</f>
        <v>00000100</v>
      </c>
      <c r="X110" s="9" t="str">
        <f>HEX2BIN(MID($AB109,X$2,2),8)</f>
        <v>00111000</v>
      </c>
      <c r="Y110" s="9" t="str">
        <f>HEX2BIN(MID($AB109,Y$2,2),8)</f>
        <v>11000010</v>
      </c>
      <c r="AB110" t="s">
        <v>97</v>
      </c>
    </row>
    <row r="111" spans="3:28" x14ac:dyDescent="0.25">
      <c r="H111" s="8" t="str">
        <f>MID($AB111,H$2,2)</f>
        <v>23</v>
      </c>
      <c r="I111" s="8" t="str">
        <f>MID($AB111,I$2,2)</f>
        <v>CB</v>
      </c>
      <c r="J111" s="8" t="str">
        <f>MID($AB111,J$2,2)</f>
        <v>26</v>
      </c>
      <c r="K111" s="8" t="str">
        <f>MID($AB111,K$2,2)</f>
        <v>01</v>
      </c>
      <c r="L111" s="8" t="str">
        <f>MID($AB111,L$2,2)</f>
        <v>00</v>
      </c>
      <c r="M111" s="8" t="str">
        <f>MID($AB111,M$2,2)</f>
        <v>20</v>
      </c>
      <c r="N111" s="8" t="str">
        <f>MID($AB111,N$2,2)</f>
        <v>48</v>
      </c>
      <c r="O111" s="8" t="str">
        <f>MID($AB111,O$2,2)</f>
        <v>00</v>
      </c>
      <c r="P111" s="8" t="str">
        <f>MID($AB111,P$2,2)</f>
        <v>C0</v>
      </c>
      <c r="Q111" s="8" t="str">
        <f>MID($AB111,Q$2,2)</f>
        <v>78</v>
      </c>
      <c r="R111" s="8" t="str">
        <f>MID($AB111,R$2,2)</f>
        <v>3F</v>
      </c>
      <c r="S111" s="8" t="str">
        <f>MID($AB111,S$2,2)</f>
        <v>00</v>
      </c>
      <c r="T111" s="8" t="str">
        <f>MID($AB111,T$2,2)</f>
        <v>00</v>
      </c>
      <c r="U111" s="8" t="str">
        <f>MID($AB111,U$2,2)</f>
        <v>00</v>
      </c>
      <c r="V111" s="8" t="str">
        <f>MID($AB111,V$2,2)</f>
        <v>92</v>
      </c>
      <c r="W111" s="17" t="str">
        <f>MID($AB111,W$2,2)</f>
        <v>04</v>
      </c>
      <c r="X111" s="8" t="str">
        <f>MID($AB111,X$2,2)</f>
        <v>38</v>
      </c>
      <c r="Y111" s="8" t="str">
        <f>MID($AB111,Y$2,2)</f>
        <v>C2</v>
      </c>
      <c r="AA111" t="s">
        <v>99</v>
      </c>
      <c r="AB111" t="s">
        <v>103</v>
      </c>
    </row>
    <row r="112" spans="3:28" x14ac:dyDescent="0.25">
      <c r="H112" s="9" t="str">
        <f>HEX2BIN(MID($AB111,H$2,2),8)</f>
        <v>00100011</v>
      </c>
      <c r="I112" s="9" t="str">
        <f>HEX2BIN(MID($AB111,I$2,2),8)</f>
        <v>11001011</v>
      </c>
      <c r="J112" s="9" t="str">
        <f>HEX2BIN(MID($AB111,J$2,2),8)</f>
        <v>00100110</v>
      </c>
      <c r="K112" s="9" t="str">
        <f>HEX2BIN(MID($AB111,K$2,2),8)</f>
        <v>00000001</v>
      </c>
      <c r="L112" s="9" t="str">
        <f>HEX2BIN(MID($AB111,L$2,2),8)</f>
        <v>00000000</v>
      </c>
      <c r="M112" s="9" t="str">
        <f>HEX2BIN(MID($AB111,M$2,2),8)</f>
        <v>00100000</v>
      </c>
      <c r="N112" s="9" t="str">
        <f>HEX2BIN(MID($AB111,N$2,2),8)</f>
        <v>01001000</v>
      </c>
      <c r="O112" s="9" t="str">
        <f>HEX2BIN(MID($AB111,O$2,2),8)</f>
        <v>00000000</v>
      </c>
      <c r="P112" s="9" t="str">
        <f>HEX2BIN(MID($AB111,P$2,2),8)</f>
        <v>11000000</v>
      </c>
      <c r="Q112" s="9" t="str">
        <f>HEX2BIN(MID($AB111,Q$2,2),8)</f>
        <v>01111000</v>
      </c>
      <c r="R112" s="9" t="str">
        <f>HEX2BIN(MID($AB111,R$2,2),8)</f>
        <v>00111111</v>
      </c>
      <c r="S112" s="9" t="str">
        <f>HEX2BIN(MID($AB111,S$2,2),8)</f>
        <v>00000000</v>
      </c>
      <c r="T112" s="9" t="str">
        <f>HEX2BIN(MID($AB111,T$2,2),8)</f>
        <v>00000000</v>
      </c>
      <c r="U112" s="9" t="str">
        <f>HEX2BIN(MID($AB111,U$2,2),8)</f>
        <v>00000000</v>
      </c>
      <c r="V112" s="9" t="str">
        <f>HEX2BIN(MID($AB111,V$2,2),8)</f>
        <v>10010010</v>
      </c>
      <c r="W112" s="18" t="str">
        <f>HEX2BIN(MID($AB111,W$2,2),8)</f>
        <v>00000100</v>
      </c>
      <c r="X112" s="9" t="str">
        <f>HEX2BIN(MID($AB111,X$2,2),8)</f>
        <v>00111000</v>
      </c>
      <c r="Y112" s="9" t="str">
        <f>HEX2BIN(MID($AB111,Y$2,2),8)</f>
        <v>11000010</v>
      </c>
      <c r="AB112" t="s">
        <v>97</v>
      </c>
    </row>
    <row r="113" spans="8:28" x14ac:dyDescent="0.25">
      <c r="H113" s="8" t="str">
        <f>MID($AB113,H$2,2)</f>
        <v>23</v>
      </c>
      <c r="I113" s="8" t="str">
        <f>MID($AB113,I$2,2)</f>
        <v>CB</v>
      </c>
      <c r="J113" s="8" t="str">
        <f>MID($AB113,J$2,2)</f>
        <v>26</v>
      </c>
      <c r="K113" s="8" t="str">
        <f>MID($AB113,K$2,2)</f>
        <v>01</v>
      </c>
      <c r="L113" s="8" t="str">
        <f>MID($AB113,L$2,2)</f>
        <v>00</v>
      </c>
      <c r="M113" s="8" t="str">
        <f>MID($AB113,M$2,2)</f>
        <v>20</v>
      </c>
      <c r="N113" s="8" t="str">
        <f>MID($AB113,N$2,2)</f>
        <v>48</v>
      </c>
      <c r="O113" s="8" t="str">
        <f>MID($AB113,O$2,2)</f>
        <v>00</v>
      </c>
      <c r="P113" s="8" t="str">
        <f>MID($AB113,P$2,2)</f>
        <v>C0</v>
      </c>
      <c r="Q113" s="8" t="str">
        <f>MID($AB113,Q$2,2)</f>
        <v>B8</v>
      </c>
      <c r="R113" s="8" t="str">
        <f>MID($AB113,R$2,2)</f>
        <v>3F</v>
      </c>
      <c r="S113" s="8" t="str">
        <f>MID($AB113,S$2,2)</f>
        <v>00</v>
      </c>
      <c r="T113" s="8" t="str">
        <f>MID($AB113,T$2,2)</f>
        <v>00</v>
      </c>
      <c r="U113" s="8" t="str">
        <f>MID($AB113,U$2,2)</f>
        <v>00</v>
      </c>
      <c r="V113" s="8" t="str">
        <f>MID($AB113,V$2,2)</f>
        <v>92</v>
      </c>
      <c r="W113" s="17" t="str">
        <f>MID($AB113,W$2,2)</f>
        <v>24</v>
      </c>
      <c r="X113" s="8" t="str">
        <f>MID($AB113,X$2,2)</f>
        <v>38</v>
      </c>
      <c r="Y113" s="8" t="str">
        <f>MID($AB113,Y$2,2)</f>
        <v>22</v>
      </c>
      <c r="AA113" s="16" t="s">
        <v>100</v>
      </c>
      <c r="AB113" t="s">
        <v>104</v>
      </c>
    </row>
    <row r="114" spans="8:28" x14ac:dyDescent="0.25">
      <c r="H114" s="9" t="str">
        <f>HEX2BIN(MID($AB113,H$2,2),8)</f>
        <v>00100011</v>
      </c>
      <c r="I114" s="9" t="str">
        <f>HEX2BIN(MID($AB113,I$2,2),8)</f>
        <v>11001011</v>
      </c>
      <c r="J114" s="9" t="str">
        <f>HEX2BIN(MID($AB113,J$2,2),8)</f>
        <v>00100110</v>
      </c>
      <c r="K114" s="9" t="str">
        <f>HEX2BIN(MID($AB113,K$2,2),8)</f>
        <v>00000001</v>
      </c>
      <c r="L114" s="9" t="str">
        <f>HEX2BIN(MID($AB113,L$2,2),8)</f>
        <v>00000000</v>
      </c>
      <c r="M114" s="9" t="str">
        <f>HEX2BIN(MID($AB113,M$2,2),8)</f>
        <v>00100000</v>
      </c>
      <c r="N114" s="9" t="str">
        <f>HEX2BIN(MID($AB113,N$2,2),8)</f>
        <v>01001000</v>
      </c>
      <c r="O114" s="9" t="str">
        <f>HEX2BIN(MID($AB113,O$2,2),8)</f>
        <v>00000000</v>
      </c>
      <c r="P114" s="9" t="str">
        <f>HEX2BIN(MID($AB113,P$2,2),8)</f>
        <v>11000000</v>
      </c>
      <c r="Q114" s="9" t="str">
        <f>HEX2BIN(MID($AB113,Q$2,2),8)</f>
        <v>10111000</v>
      </c>
      <c r="R114" s="9" t="str">
        <f>HEX2BIN(MID($AB113,R$2,2),8)</f>
        <v>00111111</v>
      </c>
      <c r="S114" s="9" t="str">
        <f>HEX2BIN(MID($AB113,S$2,2),8)</f>
        <v>00000000</v>
      </c>
      <c r="T114" s="9" t="str">
        <f>HEX2BIN(MID($AB113,T$2,2),8)</f>
        <v>00000000</v>
      </c>
      <c r="U114" s="9" t="str">
        <f>HEX2BIN(MID($AB113,U$2,2),8)</f>
        <v>00000000</v>
      </c>
      <c r="V114" s="9" t="str">
        <f>HEX2BIN(MID($AB113,V$2,2),8)</f>
        <v>10010010</v>
      </c>
      <c r="W114" s="18" t="str">
        <f>HEX2BIN(MID($AB113,W$2,2),8)</f>
        <v>00100100</v>
      </c>
      <c r="X114" s="9" t="str">
        <f>HEX2BIN(MID($AB113,X$2,2),8)</f>
        <v>00111000</v>
      </c>
      <c r="Y114" s="9" t="str">
        <f>HEX2BIN(MID($AB113,Y$2,2),8)</f>
        <v>00100010</v>
      </c>
      <c r="AB114" t="s">
        <v>97</v>
      </c>
    </row>
    <row r="115" spans="8:28" x14ac:dyDescent="0.25">
      <c r="H115" s="8" t="str">
        <f>MID($AB115,H$2,2)</f>
        <v>23</v>
      </c>
      <c r="I115" s="8" t="str">
        <f>MID($AB115,I$2,2)</f>
        <v>CB</v>
      </c>
      <c r="J115" s="8" t="str">
        <f>MID($AB115,J$2,2)</f>
        <v>26</v>
      </c>
      <c r="K115" s="8" t="str">
        <f>MID($AB115,K$2,2)</f>
        <v>01</v>
      </c>
      <c r="L115" s="8" t="str">
        <f>MID($AB115,L$2,2)</f>
        <v>00</v>
      </c>
      <c r="M115" s="8" t="str">
        <f>MID($AB115,M$2,2)</f>
        <v>20</v>
      </c>
      <c r="N115" s="8" t="str">
        <f>MID($AB115,N$2,2)</f>
        <v>48</v>
      </c>
      <c r="O115" s="8" t="str">
        <f>MID($AB115,O$2,2)</f>
        <v>00</v>
      </c>
      <c r="P115" s="8" t="str">
        <f>MID($AB115,P$2,2)</f>
        <v>C0</v>
      </c>
      <c r="Q115" s="8" t="str">
        <f>MID($AB115,Q$2,2)</f>
        <v>78</v>
      </c>
      <c r="R115" s="8" t="str">
        <f>MID($AB115,R$2,2)</f>
        <v>3F</v>
      </c>
      <c r="S115" s="8" t="str">
        <f>MID($AB115,S$2,2)</f>
        <v>00</v>
      </c>
      <c r="T115" s="8" t="str">
        <f>MID($AB115,T$2,2)</f>
        <v>00</v>
      </c>
      <c r="U115" s="8" t="str">
        <f>MID($AB115,U$2,2)</f>
        <v>00</v>
      </c>
      <c r="V115" s="8" t="str">
        <f>MID($AB115,V$2,2)</f>
        <v>92</v>
      </c>
      <c r="W115" s="17" t="str">
        <f>MID($AB115,W$2,2)</f>
        <v>04</v>
      </c>
      <c r="X115" s="8" t="str">
        <f>MID($AB115,X$2,2)</f>
        <v>38</v>
      </c>
      <c r="Y115" s="8" t="str">
        <f>MID($AB115,Y$2,2)</f>
        <v>C2</v>
      </c>
      <c r="AA115" s="16" t="s">
        <v>101</v>
      </c>
      <c r="AB115" t="s">
        <v>103</v>
      </c>
    </row>
    <row r="116" spans="8:28" x14ac:dyDescent="0.25">
      <c r="H116" s="9" t="str">
        <f>HEX2BIN(MID($AB115,H$2,2),8)</f>
        <v>00100011</v>
      </c>
      <c r="I116" s="9" t="str">
        <f>HEX2BIN(MID($AB115,I$2,2),8)</f>
        <v>11001011</v>
      </c>
      <c r="J116" s="9" t="str">
        <f>HEX2BIN(MID($AB115,J$2,2),8)</f>
        <v>00100110</v>
      </c>
      <c r="K116" s="9" t="str">
        <f>HEX2BIN(MID($AB115,K$2,2),8)</f>
        <v>00000001</v>
      </c>
      <c r="L116" s="9" t="str">
        <f>HEX2BIN(MID($AB115,L$2,2),8)</f>
        <v>00000000</v>
      </c>
      <c r="M116" s="9" t="str">
        <f>HEX2BIN(MID($AB115,M$2,2),8)</f>
        <v>00100000</v>
      </c>
      <c r="N116" s="9" t="str">
        <f>HEX2BIN(MID($AB115,N$2,2),8)</f>
        <v>01001000</v>
      </c>
      <c r="O116" s="9" t="str">
        <f>HEX2BIN(MID($AB115,O$2,2),8)</f>
        <v>00000000</v>
      </c>
      <c r="P116" s="9" t="str">
        <f>HEX2BIN(MID($AB115,P$2,2),8)</f>
        <v>11000000</v>
      </c>
      <c r="Q116" s="9" t="str">
        <f>HEX2BIN(MID($AB115,Q$2,2),8)</f>
        <v>01111000</v>
      </c>
      <c r="R116" s="9" t="str">
        <f>HEX2BIN(MID($AB115,R$2,2),8)</f>
        <v>00111111</v>
      </c>
      <c r="S116" s="9" t="str">
        <f>HEX2BIN(MID($AB115,S$2,2),8)</f>
        <v>00000000</v>
      </c>
      <c r="T116" s="9" t="str">
        <f>HEX2BIN(MID($AB115,T$2,2),8)</f>
        <v>00000000</v>
      </c>
      <c r="U116" s="9" t="str">
        <f>HEX2BIN(MID($AB115,U$2,2),8)</f>
        <v>00000000</v>
      </c>
      <c r="V116" s="9" t="str">
        <f>HEX2BIN(MID($AB115,V$2,2),8)</f>
        <v>10010010</v>
      </c>
      <c r="W116" s="18" t="str">
        <f>HEX2BIN(MID($AB115,W$2,2),8)</f>
        <v>00000100</v>
      </c>
      <c r="X116" s="9" t="str">
        <f>HEX2BIN(MID($AB115,X$2,2),8)</f>
        <v>00111000</v>
      </c>
      <c r="Y116" s="9" t="str">
        <f>HEX2BIN(MID($AB115,Y$2,2),8)</f>
        <v>11000010</v>
      </c>
      <c r="AB116" t="s">
        <v>97</v>
      </c>
    </row>
    <row r="117" spans="8:28" x14ac:dyDescent="0.25">
      <c r="H117" s="8" t="str">
        <f>MID($AB117,H$2,2)</f>
        <v>23</v>
      </c>
      <c r="I117" s="8" t="str">
        <f>MID($AB117,I$2,2)</f>
        <v>CB</v>
      </c>
      <c r="J117" s="8" t="str">
        <f>MID($AB117,J$2,2)</f>
        <v>26</v>
      </c>
      <c r="K117" s="8" t="str">
        <f>MID($AB117,K$2,2)</f>
        <v>01</v>
      </c>
      <c r="L117" s="8" t="str">
        <f>MID($AB117,L$2,2)</f>
        <v>00</v>
      </c>
      <c r="M117" s="8" t="str">
        <f>MID($AB117,M$2,2)</f>
        <v>20</v>
      </c>
      <c r="N117" s="8" t="str">
        <f>MID($AB117,N$2,2)</f>
        <v>48</v>
      </c>
      <c r="O117" s="8" t="str">
        <f>MID($AB117,O$2,2)</f>
        <v>00</v>
      </c>
      <c r="P117" s="8" t="str">
        <f>MID($AB117,P$2,2)</f>
        <v>C0</v>
      </c>
      <c r="Q117" s="8" t="str">
        <f>MID($AB117,Q$2,2)</f>
        <v>B8</v>
      </c>
      <c r="R117" s="8" t="str">
        <f>MID($AB117,R$2,2)</f>
        <v>3F</v>
      </c>
      <c r="S117" s="8" t="str">
        <f>MID($AB117,S$2,2)</f>
        <v>00</v>
      </c>
      <c r="T117" s="8" t="str">
        <f>MID($AB117,T$2,2)</f>
        <v>00</v>
      </c>
      <c r="U117" s="8" t="str">
        <f>MID($AB117,U$2,2)</f>
        <v>00</v>
      </c>
      <c r="V117" s="8" t="str">
        <f>MID($AB117,V$2,2)</f>
        <v>92</v>
      </c>
      <c r="W117" s="17" t="str">
        <f>MID($AB117,W$2,2)</f>
        <v>24</v>
      </c>
      <c r="X117" s="8" t="str">
        <f>MID($AB117,X$2,2)</f>
        <v>38</v>
      </c>
      <c r="Y117" s="8" t="str">
        <f>MID($AB117,Y$2,2)</f>
        <v>22</v>
      </c>
      <c r="AA117" s="16" t="s">
        <v>100</v>
      </c>
      <c r="AB117" t="s">
        <v>104</v>
      </c>
    </row>
    <row r="118" spans="8:28" x14ac:dyDescent="0.25">
      <c r="H118" s="9" t="str">
        <f>HEX2BIN(MID($AB117,H$2,2),8)</f>
        <v>00100011</v>
      </c>
      <c r="I118" s="9" t="str">
        <f>HEX2BIN(MID($AB117,I$2,2),8)</f>
        <v>11001011</v>
      </c>
      <c r="J118" s="9" t="str">
        <f>HEX2BIN(MID($AB117,J$2,2),8)</f>
        <v>00100110</v>
      </c>
      <c r="K118" s="9" t="str">
        <f>HEX2BIN(MID($AB117,K$2,2),8)</f>
        <v>00000001</v>
      </c>
      <c r="L118" s="9" t="str">
        <f>HEX2BIN(MID($AB117,L$2,2),8)</f>
        <v>00000000</v>
      </c>
      <c r="M118" s="9" t="str">
        <f>HEX2BIN(MID($AB117,M$2,2),8)</f>
        <v>00100000</v>
      </c>
      <c r="N118" s="9" t="str">
        <f>HEX2BIN(MID($AB117,N$2,2),8)</f>
        <v>01001000</v>
      </c>
      <c r="O118" s="9" t="str">
        <f>HEX2BIN(MID($AB117,O$2,2),8)</f>
        <v>00000000</v>
      </c>
      <c r="P118" s="9" t="str">
        <f>HEX2BIN(MID($AB117,P$2,2),8)</f>
        <v>11000000</v>
      </c>
      <c r="Q118" s="9" t="str">
        <f>HEX2BIN(MID($AB117,Q$2,2),8)</f>
        <v>10111000</v>
      </c>
      <c r="R118" s="9" t="str">
        <f>HEX2BIN(MID($AB117,R$2,2),8)</f>
        <v>00111111</v>
      </c>
      <c r="S118" s="9" t="str">
        <f>HEX2BIN(MID($AB117,S$2,2),8)</f>
        <v>00000000</v>
      </c>
      <c r="T118" s="9" t="str">
        <f>HEX2BIN(MID($AB117,T$2,2),8)</f>
        <v>00000000</v>
      </c>
      <c r="U118" s="9" t="str">
        <f>HEX2BIN(MID($AB117,U$2,2),8)</f>
        <v>00000000</v>
      </c>
      <c r="V118" s="9" t="str">
        <f>HEX2BIN(MID($AB117,V$2,2),8)</f>
        <v>10010010</v>
      </c>
      <c r="W118" s="18" t="str">
        <f>HEX2BIN(MID($AB117,W$2,2),8)</f>
        <v>00100100</v>
      </c>
      <c r="X118" s="9" t="str">
        <f>HEX2BIN(MID($AB117,X$2,2),8)</f>
        <v>00111000</v>
      </c>
      <c r="Y118" s="9" t="str">
        <f>HEX2BIN(MID($AB117,Y$2,2),8)</f>
        <v>00100010</v>
      </c>
      <c r="AB118" t="s">
        <v>97</v>
      </c>
    </row>
    <row r="119" spans="8:28" x14ac:dyDescent="0.25">
      <c r="H119" s="8" t="str">
        <f>MID($AB119,H$2,2)</f>
        <v>23</v>
      </c>
      <c r="I119" s="8" t="str">
        <f>MID($AB119,I$2,2)</f>
        <v>CB</v>
      </c>
      <c r="J119" s="8" t="str">
        <f>MID($AB119,J$2,2)</f>
        <v>26</v>
      </c>
      <c r="K119" s="8" t="str">
        <f>MID($AB119,K$2,2)</f>
        <v>01</v>
      </c>
      <c r="L119" s="8" t="str">
        <f>MID($AB119,L$2,2)</f>
        <v>00</v>
      </c>
      <c r="M119" s="8" t="str">
        <f>MID($AB119,M$2,2)</f>
        <v>20</v>
      </c>
      <c r="N119" s="8" t="str">
        <f>MID($AB119,N$2,2)</f>
        <v>48</v>
      </c>
      <c r="O119" s="8" t="str">
        <f>MID($AB119,O$2,2)</f>
        <v>00</v>
      </c>
      <c r="P119" s="8" t="str">
        <f>MID($AB119,P$2,2)</f>
        <v>C0</v>
      </c>
      <c r="Q119" s="8" t="str">
        <f>MID($AB119,Q$2,2)</f>
        <v>78</v>
      </c>
      <c r="R119" s="8" t="str">
        <f>MID($AB119,R$2,2)</f>
        <v>3F</v>
      </c>
      <c r="S119" s="8" t="str">
        <f>MID($AB119,S$2,2)</f>
        <v>00</v>
      </c>
      <c r="T119" s="8" t="str">
        <f>MID($AB119,T$2,2)</f>
        <v>00</v>
      </c>
      <c r="U119" s="8" t="str">
        <f>MID($AB119,U$2,2)</f>
        <v>00</v>
      </c>
      <c r="V119" s="8" t="str">
        <f>MID($AB119,V$2,2)</f>
        <v>92</v>
      </c>
      <c r="W119" s="17" t="str">
        <f>MID($AB119,W$2,2)</f>
        <v>04</v>
      </c>
      <c r="X119" s="8" t="str">
        <f>MID($AB119,X$2,2)</f>
        <v>38</v>
      </c>
      <c r="Y119" s="8" t="str">
        <f>MID($AB119,Y$2,2)</f>
        <v>C2</v>
      </c>
      <c r="AA119" t="s">
        <v>102</v>
      </c>
      <c r="AB119" t="s">
        <v>103</v>
      </c>
    </row>
    <row r="120" spans="8:28" x14ac:dyDescent="0.25">
      <c r="H120" s="9" t="str">
        <f>HEX2BIN(MID($AB119,H$2,2),8)</f>
        <v>00100011</v>
      </c>
      <c r="I120" s="9" t="str">
        <f>HEX2BIN(MID($AB119,I$2,2),8)</f>
        <v>11001011</v>
      </c>
      <c r="J120" s="9" t="str">
        <f>HEX2BIN(MID($AB119,J$2,2),8)</f>
        <v>00100110</v>
      </c>
      <c r="K120" s="9" t="str">
        <f>HEX2BIN(MID($AB119,K$2,2),8)</f>
        <v>00000001</v>
      </c>
      <c r="L120" s="9" t="str">
        <f>HEX2BIN(MID($AB119,L$2,2),8)</f>
        <v>00000000</v>
      </c>
      <c r="M120" s="9" t="str">
        <f>HEX2BIN(MID($AB119,M$2,2),8)</f>
        <v>00100000</v>
      </c>
      <c r="N120" s="9" t="str">
        <f>HEX2BIN(MID($AB119,N$2,2),8)</f>
        <v>01001000</v>
      </c>
      <c r="O120" s="9" t="str">
        <f>HEX2BIN(MID($AB119,O$2,2),8)</f>
        <v>00000000</v>
      </c>
      <c r="P120" s="9" t="str">
        <f>HEX2BIN(MID($AB119,P$2,2),8)</f>
        <v>11000000</v>
      </c>
      <c r="Q120" s="9" t="str">
        <f>HEX2BIN(MID($AB119,Q$2,2),8)</f>
        <v>01111000</v>
      </c>
      <c r="R120" s="9" t="str">
        <f>HEX2BIN(MID($AB119,R$2,2),8)</f>
        <v>00111111</v>
      </c>
      <c r="S120" s="9" t="str">
        <f>HEX2BIN(MID($AB119,S$2,2),8)</f>
        <v>00000000</v>
      </c>
      <c r="T120" s="9" t="str">
        <f>HEX2BIN(MID($AB119,T$2,2),8)</f>
        <v>00000000</v>
      </c>
      <c r="U120" s="9" t="str">
        <f>HEX2BIN(MID($AB119,U$2,2),8)</f>
        <v>00000000</v>
      </c>
      <c r="V120" s="9" t="str">
        <f>HEX2BIN(MID($AB119,V$2,2),8)</f>
        <v>10010010</v>
      </c>
      <c r="W120" s="18" t="str">
        <f>HEX2BIN(MID($AB119,W$2,2),8)</f>
        <v>00000100</v>
      </c>
      <c r="X120" s="9" t="str">
        <f>HEX2BIN(MID($AB119,X$2,2),8)</f>
        <v>00111000</v>
      </c>
      <c r="Y120" s="9" t="str">
        <f>HEX2BIN(MID($AB119,Y$2,2),8)</f>
        <v>11000010</v>
      </c>
    </row>
    <row r="121" spans="8:28" x14ac:dyDescent="0.25">
      <c r="H121" s="8" t="str">
        <f>MID($AB121,H$2,2)</f>
        <v>23</v>
      </c>
      <c r="I121" s="8" t="str">
        <f>MID($AB121,I$2,2)</f>
        <v>CB</v>
      </c>
      <c r="J121" s="8" t="str">
        <f>MID($AB121,J$2,2)</f>
        <v>26</v>
      </c>
      <c r="K121" s="8" t="str">
        <f>MID($AB121,K$2,2)</f>
        <v>01</v>
      </c>
      <c r="L121" s="8" t="str">
        <f>MID($AB121,L$2,2)</f>
        <v>00</v>
      </c>
      <c r="M121" s="8" t="str">
        <f>MID($AB121,M$2,2)</f>
        <v>20</v>
      </c>
      <c r="N121" s="8" t="str">
        <f>MID($AB121,N$2,2)</f>
        <v>48</v>
      </c>
      <c r="O121" s="8" t="str">
        <f>MID($AB121,O$2,2)</f>
        <v>00</v>
      </c>
      <c r="P121" s="8" t="str">
        <f>MID($AB121,P$2,2)</f>
        <v>C0</v>
      </c>
      <c r="Q121" s="8" t="str">
        <f>MID($AB121,Q$2,2)</f>
        <v>78</v>
      </c>
      <c r="R121" s="8" t="str">
        <f>MID($AB121,R$2,2)</f>
        <v>45</v>
      </c>
      <c r="S121" s="8" t="str">
        <f>MID($AB121,S$2,2)</f>
        <v>00</v>
      </c>
      <c r="T121" s="8" t="str">
        <f>MID($AB121,T$2,2)</f>
        <v>00</v>
      </c>
      <c r="U121" s="8" t="str">
        <f>MID($AB121,U$2,2)</f>
        <v>00</v>
      </c>
      <c r="V121" s="8" t="str">
        <f>MID($AB121,V$2,2)</f>
        <v>92</v>
      </c>
      <c r="W121" s="17" t="str">
        <f>MID($AB121,W$2,2)</f>
        <v>04</v>
      </c>
      <c r="X121" s="8" t="str">
        <f>MID($AB121,X$2,2)</f>
        <v>38</v>
      </c>
      <c r="Y121" s="8" t="str">
        <f>MID($AB121,Y$2,2)</f>
        <v>C8</v>
      </c>
      <c r="AB121" t="s">
        <v>105</v>
      </c>
    </row>
    <row r="122" spans="8:28" x14ac:dyDescent="0.25">
      <c r="H122" s="9" t="str">
        <f>HEX2BIN(MID($AB121,H$2,2),8)</f>
        <v>00100011</v>
      </c>
      <c r="I122" s="9" t="str">
        <f>HEX2BIN(MID($AB121,I$2,2),8)</f>
        <v>11001011</v>
      </c>
      <c r="J122" s="9" t="str">
        <f>HEX2BIN(MID($AB121,J$2,2),8)</f>
        <v>00100110</v>
      </c>
      <c r="K122" s="9" t="str">
        <f>HEX2BIN(MID($AB121,K$2,2),8)</f>
        <v>00000001</v>
      </c>
      <c r="L122" s="9" t="str">
        <f>HEX2BIN(MID($AB121,L$2,2),8)</f>
        <v>00000000</v>
      </c>
      <c r="M122" s="9" t="str">
        <f>HEX2BIN(MID($AB121,M$2,2),8)</f>
        <v>00100000</v>
      </c>
      <c r="N122" s="9" t="str">
        <f>HEX2BIN(MID($AB121,N$2,2),8)</f>
        <v>01001000</v>
      </c>
      <c r="O122" s="9" t="str">
        <f>HEX2BIN(MID($AB121,O$2,2),8)</f>
        <v>00000000</v>
      </c>
      <c r="P122" s="9" t="str">
        <f>HEX2BIN(MID($AB121,P$2,2),8)</f>
        <v>11000000</v>
      </c>
      <c r="Q122" s="9" t="str">
        <f>HEX2BIN(MID($AB121,Q$2,2),8)</f>
        <v>01111000</v>
      </c>
      <c r="R122" s="9" t="str">
        <f>HEX2BIN(MID($AB121,R$2,2),8)</f>
        <v>01000101</v>
      </c>
      <c r="S122" s="9" t="str">
        <f>HEX2BIN(MID($AB121,S$2,2),8)</f>
        <v>00000000</v>
      </c>
      <c r="T122" s="9" t="str">
        <f>HEX2BIN(MID($AB121,T$2,2),8)</f>
        <v>00000000</v>
      </c>
      <c r="U122" s="9" t="str">
        <f>HEX2BIN(MID($AB121,U$2,2),8)</f>
        <v>00000000</v>
      </c>
      <c r="V122" s="9" t="str">
        <f>HEX2BIN(MID($AB121,V$2,2),8)</f>
        <v>10010010</v>
      </c>
      <c r="W122" s="18" t="str">
        <f>HEX2BIN(MID($AB121,W$2,2),8)</f>
        <v>00000100</v>
      </c>
      <c r="X122" s="9" t="str">
        <f>HEX2BIN(MID($AB121,X$2,2),8)</f>
        <v>00111000</v>
      </c>
      <c r="Y122" s="9" t="str">
        <f>HEX2BIN(MID($AB121,Y$2,2),8)</f>
        <v>11001000</v>
      </c>
      <c r="AB122" t="s">
        <v>97</v>
      </c>
    </row>
    <row r="123" spans="8:28" x14ac:dyDescent="0.25">
      <c r="H123" s="8" t="str">
        <f>MID($AB123,H$2,2)</f>
        <v>23</v>
      </c>
      <c r="I123" s="8" t="str">
        <f>MID($AB123,I$2,2)</f>
        <v>CB</v>
      </c>
      <c r="J123" s="8" t="str">
        <f>MID($AB123,J$2,2)</f>
        <v>26</v>
      </c>
      <c r="K123" s="8" t="str">
        <f>MID($AB123,K$2,2)</f>
        <v>01</v>
      </c>
      <c r="L123" s="8" t="str">
        <f>MID($AB123,L$2,2)</f>
        <v>00</v>
      </c>
      <c r="M123" s="8" t="str">
        <f>MID($AB123,M$2,2)</f>
        <v>20</v>
      </c>
      <c r="N123" s="8" t="str">
        <f>MID($AB123,N$2,2)</f>
        <v>48</v>
      </c>
      <c r="O123" s="8" t="str">
        <f>MID($AB123,O$2,2)</f>
        <v>00</v>
      </c>
      <c r="P123" s="8" t="str">
        <f>MID($AB123,P$2,2)</f>
        <v>C0</v>
      </c>
      <c r="Q123" s="8" t="str">
        <f>MID($AB123,Q$2,2)</f>
        <v>B8</v>
      </c>
      <c r="R123" s="8" t="str">
        <f>MID($AB123,R$2,2)</f>
        <v>45</v>
      </c>
      <c r="S123" s="8" t="str">
        <f>MID($AB123,S$2,2)</f>
        <v>00</v>
      </c>
      <c r="T123" s="8" t="str">
        <f>MID($AB123,T$2,2)</f>
        <v>00</v>
      </c>
      <c r="U123" s="8" t="str">
        <f>MID($AB123,U$2,2)</f>
        <v>00</v>
      </c>
      <c r="V123" s="8" t="str">
        <f>MID($AB123,V$2,2)</f>
        <v>92</v>
      </c>
      <c r="W123" s="17" t="str">
        <f>MID($AB123,W$2,2)</f>
        <v>24</v>
      </c>
      <c r="X123" s="8" t="str">
        <f>MID($AB123,X$2,2)</f>
        <v>38</v>
      </c>
      <c r="Y123" s="8" t="str">
        <f>MID($AB123,Y$2,2)</f>
        <v>28</v>
      </c>
      <c r="AB123" t="s">
        <v>106</v>
      </c>
    </row>
    <row r="124" spans="8:28" x14ac:dyDescent="0.25">
      <c r="H124" s="9" t="str">
        <f>HEX2BIN(MID($AB123,H$2,2),8)</f>
        <v>00100011</v>
      </c>
      <c r="I124" s="9" t="str">
        <f>HEX2BIN(MID($AB123,I$2,2),8)</f>
        <v>11001011</v>
      </c>
      <c r="J124" s="9" t="str">
        <f>HEX2BIN(MID($AB123,J$2,2),8)</f>
        <v>00100110</v>
      </c>
      <c r="K124" s="9" t="str">
        <f>HEX2BIN(MID($AB123,K$2,2),8)</f>
        <v>00000001</v>
      </c>
      <c r="L124" s="9" t="str">
        <f>HEX2BIN(MID($AB123,L$2,2),8)</f>
        <v>00000000</v>
      </c>
      <c r="M124" s="9" t="str">
        <f>HEX2BIN(MID($AB123,M$2,2),8)</f>
        <v>00100000</v>
      </c>
      <c r="N124" s="9" t="str">
        <f>HEX2BIN(MID($AB123,N$2,2),8)</f>
        <v>01001000</v>
      </c>
      <c r="O124" s="9" t="str">
        <f>HEX2BIN(MID($AB123,O$2,2),8)</f>
        <v>00000000</v>
      </c>
      <c r="P124" s="9" t="str">
        <f>HEX2BIN(MID($AB123,P$2,2),8)</f>
        <v>11000000</v>
      </c>
      <c r="Q124" s="9" t="str">
        <f>HEX2BIN(MID($AB123,Q$2,2),8)</f>
        <v>10111000</v>
      </c>
      <c r="R124" s="9" t="str">
        <f>HEX2BIN(MID($AB123,R$2,2),8)</f>
        <v>01000101</v>
      </c>
      <c r="S124" s="9" t="str">
        <f>HEX2BIN(MID($AB123,S$2,2),8)</f>
        <v>00000000</v>
      </c>
      <c r="T124" s="9" t="str">
        <f>HEX2BIN(MID($AB123,T$2,2),8)</f>
        <v>00000000</v>
      </c>
      <c r="U124" s="9" t="str">
        <f>HEX2BIN(MID($AB123,U$2,2),8)</f>
        <v>00000000</v>
      </c>
      <c r="V124" s="9" t="str">
        <f>HEX2BIN(MID($AB123,V$2,2),8)</f>
        <v>10010010</v>
      </c>
      <c r="W124" s="18" t="str">
        <f>HEX2BIN(MID($AB123,W$2,2),8)</f>
        <v>00100100</v>
      </c>
      <c r="X124" s="9" t="str">
        <f>HEX2BIN(MID($AB123,X$2,2),8)</f>
        <v>00111000</v>
      </c>
      <c r="Y124" s="9" t="str">
        <f>HEX2BIN(MID($AB123,Y$2,2),8)</f>
        <v>00101000</v>
      </c>
    </row>
    <row r="125" spans="8:28" x14ac:dyDescent="0.25">
      <c r="H125" s="8" t="str">
        <f>MID($AB125,H$2,2)</f>
        <v>23</v>
      </c>
      <c r="I125" s="8" t="str">
        <f>MID($AB125,I$2,2)</f>
        <v>CB</v>
      </c>
      <c r="J125" s="8" t="str">
        <f>MID($AB125,J$2,2)</f>
        <v>26</v>
      </c>
      <c r="K125" s="8" t="str">
        <f>MID($AB125,K$2,2)</f>
        <v>01</v>
      </c>
      <c r="L125" s="8" t="str">
        <f>MID($AB125,L$2,2)</f>
        <v>00</v>
      </c>
      <c r="M125" s="8" t="str">
        <f>MID($AB125,M$2,2)</f>
        <v>20</v>
      </c>
      <c r="N125" s="8" t="str">
        <f>MID($AB125,N$2,2)</f>
        <v>48</v>
      </c>
      <c r="O125" s="8" t="str">
        <f>MID($AB125,O$2,2)</f>
        <v>00</v>
      </c>
      <c r="P125" s="8" t="str">
        <f>MID($AB125,P$2,2)</f>
        <v>C0</v>
      </c>
      <c r="Q125" s="8" t="str">
        <f>MID($AB125,Q$2,2)</f>
        <v>78</v>
      </c>
      <c r="R125" s="8" t="str">
        <f>MID($AB125,R$2,2)</f>
        <v>45</v>
      </c>
      <c r="S125" s="8" t="str">
        <f>MID($AB125,S$2,2)</f>
        <v>00</v>
      </c>
      <c r="T125" s="8" t="str">
        <f>MID($AB125,T$2,2)</f>
        <v>00</v>
      </c>
      <c r="U125" s="8" t="str">
        <f>MID($AB125,U$2,2)</f>
        <v>00</v>
      </c>
      <c r="V125" s="8" t="str">
        <f>MID($AB125,V$2,2)</f>
        <v>92</v>
      </c>
      <c r="W125" s="17" t="str">
        <f>MID($AB125,W$2,2)</f>
        <v>04</v>
      </c>
      <c r="X125" s="8" t="str">
        <f>MID($AB125,X$2,2)</f>
        <v>38</v>
      </c>
      <c r="Y125" s="8" t="str">
        <f>MID($AB125,Y$2,2)</f>
        <v>C8</v>
      </c>
      <c r="AB125" t="s">
        <v>105</v>
      </c>
    </row>
    <row r="126" spans="8:28" x14ac:dyDescent="0.25">
      <c r="H126" s="9" t="str">
        <f>HEX2BIN(MID($AB125,H$2,2),8)</f>
        <v>00100011</v>
      </c>
      <c r="I126" s="9" t="str">
        <f>HEX2BIN(MID($AB125,I$2,2),8)</f>
        <v>11001011</v>
      </c>
      <c r="J126" s="9" t="str">
        <f>HEX2BIN(MID($AB125,J$2,2),8)</f>
        <v>00100110</v>
      </c>
      <c r="K126" s="9" t="str">
        <f>HEX2BIN(MID($AB125,K$2,2),8)</f>
        <v>00000001</v>
      </c>
      <c r="L126" s="9" t="str">
        <f>HEX2BIN(MID($AB125,L$2,2),8)</f>
        <v>00000000</v>
      </c>
      <c r="M126" s="9" t="str">
        <f>HEX2BIN(MID($AB125,M$2,2),8)</f>
        <v>00100000</v>
      </c>
      <c r="N126" s="9" t="str">
        <f>HEX2BIN(MID($AB125,N$2,2),8)</f>
        <v>01001000</v>
      </c>
      <c r="O126" s="9" t="str">
        <f>HEX2BIN(MID($AB125,O$2,2),8)</f>
        <v>00000000</v>
      </c>
      <c r="P126" s="9" t="str">
        <f>HEX2BIN(MID($AB125,P$2,2),8)</f>
        <v>11000000</v>
      </c>
      <c r="Q126" s="9" t="str">
        <f>HEX2BIN(MID($AB125,Q$2,2),8)</f>
        <v>01111000</v>
      </c>
      <c r="R126" s="9" t="str">
        <f>HEX2BIN(MID($AB125,R$2,2),8)</f>
        <v>01000101</v>
      </c>
      <c r="S126" s="9" t="str">
        <f>HEX2BIN(MID($AB125,S$2,2),8)</f>
        <v>00000000</v>
      </c>
      <c r="T126" s="9" t="str">
        <f>HEX2BIN(MID($AB125,T$2,2),8)</f>
        <v>00000000</v>
      </c>
      <c r="U126" s="9" t="str">
        <f>HEX2BIN(MID($AB125,U$2,2),8)</f>
        <v>00000000</v>
      </c>
      <c r="V126" s="9" t="str">
        <f>HEX2BIN(MID($AB125,V$2,2),8)</f>
        <v>10010010</v>
      </c>
      <c r="W126" s="18" t="str">
        <f>HEX2BIN(MID($AB125,W$2,2),8)</f>
        <v>00000100</v>
      </c>
      <c r="X126" s="9" t="str">
        <f>HEX2BIN(MID($AB125,X$2,2),8)</f>
        <v>00111000</v>
      </c>
      <c r="Y126" s="9" t="str">
        <f>HEX2BIN(MID($AB125,Y$2,2),8)</f>
        <v>11001000</v>
      </c>
      <c r="AB126" t="s">
        <v>97</v>
      </c>
    </row>
    <row r="127" spans="8:28" x14ac:dyDescent="0.25">
      <c r="H127" s="8" t="str">
        <f>MID($AB127,H$2,2)</f>
        <v>23</v>
      </c>
      <c r="I127" s="8" t="str">
        <f>MID($AB127,I$2,2)</f>
        <v>CB</v>
      </c>
      <c r="J127" s="8" t="str">
        <f>MID($AB127,J$2,2)</f>
        <v>26</v>
      </c>
      <c r="K127" s="8" t="str">
        <f>MID($AB127,K$2,2)</f>
        <v>01</v>
      </c>
      <c r="L127" s="8" t="str">
        <f>MID($AB127,L$2,2)</f>
        <v>00</v>
      </c>
      <c r="M127" s="8" t="str">
        <f>MID($AB127,M$2,2)</f>
        <v>20</v>
      </c>
      <c r="N127" s="8" t="str">
        <f>MID($AB127,N$2,2)</f>
        <v>48</v>
      </c>
      <c r="O127" s="8" t="str">
        <f>MID($AB127,O$2,2)</f>
        <v>00</v>
      </c>
      <c r="P127" s="8" t="str">
        <f>MID($AB127,P$2,2)</f>
        <v>C0</v>
      </c>
      <c r="Q127" s="8" t="str">
        <f>MID($AB127,Q$2,2)</f>
        <v>B8</v>
      </c>
      <c r="R127" s="8" t="str">
        <f>MID($AB127,R$2,2)</f>
        <v>45</v>
      </c>
      <c r="S127" s="8" t="str">
        <f>MID($AB127,S$2,2)</f>
        <v>00</v>
      </c>
      <c r="T127" s="8" t="str">
        <f>MID($AB127,T$2,2)</f>
        <v>00</v>
      </c>
      <c r="U127" s="8" t="str">
        <f>MID($AB127,U$2,2)</f>
        <v>00</v>
      </c>
      <c r="V127" s="8" t="str">
        <f>MID($AB127,V$2,2)</f>
        <v>92</v>
      </c>
      <c r="W127" s="17" t="str">
        <f>MID($AB127,W$2,2)</f>
        <v>24</v>
      </c>
      <c r="X127" s="8" t="str">
        <f>MID($AB127,X$2,2)</f>
        <v>38</v>
      </c>
      <c r="Y127" s="8" t="str">
        <f>MID($AB127,Y$2,2)</f>
        <v>28</v>
      </c>
      <c r="AB127" t="s">
        <v>106</v>
      </c>
    </row>
    <row r="128" spans="8:28" x14ac:dyDescent="0.25">
      <c r="H128" s="9" t="str">
        <f>HEX2BIN(MID($AB127,H$2,2),8)</f>
        <v>00100011</v>
      </c>
      <c r="I128" s="9" t="str">
        <f>HEX2BIN(MID($AB127,I$2,2),8)</f>
        <v>11001011</v>
      </c>
      <c r="J128" s="9" t="str">
        <f>HEX2BIN(MID($AB127,J$2,2),8)</f>
        <v>00100110</v>
      </c>
      <c r="K128" s="9" t="str">
        <f>HEX2BIN(MID($AB127,K$2,2),8)</f>
        <v>00000001</v>
      </c>
      <c r="L128" s="9" t="str">
        <f>HEX2BIN(MID($AB127,L$2,2),8)</f>
        <v>00000000</v>
      </c>
      <c r="M128" s="9" t="str">
        <f>HEX2BIN(MID($AB127,M$2,2),8)</f>
        <v>00100000</v>
      </c>
      <c r="N128" s="9" t="str">
        <f>HEX2BIN(MID($AB127,N$2,2),8)</f>
        <v>01001000</v>
      </c>
      <c r="O128" s="9" t="str">
        <f>HEX2BIN(MID($AB127,O$2,2),8)</f>
        <v>00000000</v>
      </c>
      <c r="P128" s="9" t="str">
        <f>HEX2BIN(MID($AB127,P$2,2),8)</f>
        <v>11000000</v>
      </c>
      <c r="Q128" s="9" t="str">
        <f>HEX2BIN(MID($AB127,Q$2,2),8)</f>
        <v>10111000</v>
      </c>
      <c r="R128" s="9" t="str">
        <f>HEX2BIN(MID($AB127,R$2,2),8)</f>
        <v>01000101</v>
      </c>
      <c r="S128" s="9" t="str">
        <f>HEX2BIN(MID($AB127,S$2,2),8)</f>
        <v>00000000</v>
      </c>
      <c r="T128" s="9" t="str">
        <f>HEX2BIN(MID($AB127,T$2,2),8)</f>
        <v>00000000</v>
      </c>
      <c r="U128" s="9" t="str">
        <f>HEX2BIN(MID($AB127,U$2,2),8)</f>
        <v>00000000</v>
      </c>
      <c r="V128" s="9" t="str">
        <f>HEX2BIN(MID($AB127,V$2,2),8)</f>
        <v>10010010</v>
      </c>
      <c r="W128" s="18" t="str">
        <f>HEX2BIN(MID($AB127,W$2,2),8)</f>
        <v>00100100</v>
      </c>
      <c r="X128" s="9" t="str">
        <f>HEX2BIN(MID($AB127,X$2,2),8)</f>
        <v>00111000</v>
      </c>
      <c r="Y128" s="9" t="str">
        <f>HEX2BIN(MID($AB127,Y$2,2),8)</f>
        <v>00101000</v>
      </c>
      <c r="AB128" t="s">
        <v>97</v>
      </c>
    </row>
    <row r="129" spans="8:28" x14ac:dyDescent="0.25">
      <c r="H129" s="8" t="str">
        <f>MID($AB129,H$2,2)</f>
        <v>23</v>
      </c>
      <c r="I129" s="8" t="str">
        <f>MID($AB129,I$2,2)</f>
        <v>CB</v>
      </c>
      <c r="J129" s="8" t="str">
        <f>MID($AB129,J$2,2)</f>
        <v>26</v>
      </c>
      <c r="K129" s="8" t="str">
        <f>MID($AB129,K$2,2)</f>
        <v>01</v>
      </c>
      <c r="L129" s="8" t="str">
        <f>MID($AB129,L$2,2)</f>
        <v>00</v>
      </c>
      <c r="M129" s="8" t="str">
        <f>MID($AB129,M$2,2)</f>
        <v>20</v>
      </c>
      <c r="N129" s="8" t="str">
        <f>MID($AB129,N$2,2)</f>
        <v>48</v>
      </c>
      <c r="O129" s="8" t="str">
        <f>MID($AB129,O$2,2)</f>
        <v>00</v>
      </c>
      <c r="P129" s="8" t="str">
        <f>MID($AB129,P$2,2)</f>
        <v>C0</v>
      </c>
      <c r="Q129" s="8" t="str">
        <f>MID($AB129,Q$2,2)</f>
        <v>78</v>
      </c>
      <c r="R129" s="8" t="str">
        <f>MID($AB129,R$2,2)</f>
        <v>45</v>
      </c>
      <c r="S129" s="8" t="str">
        <f>MID($AB129,S$2,2)</f>
        <v>00</v>
      </c>
      <c r="T129" s="8" t="str">
        <f>MID($AB129,T$2,2)</f>
        <v>00</v>
      </c>
      <c r="U129" s="8" t="str">
        <f>MID($AB129,U$2,2)</f>
        <v>00</v>
      </c>
      <c r="V129" s="8" t="str">
        <f>MID($AB129,V$2,2)</f>
        <v>92</v>
      </c>
      <c r="W129" s="17" t="str">
        <f>MID($AB129,W$2,2)</f>
        <v>04</v>
      </c>
      <c r="X129" s="8" t="str">
        <f>MID($AB129,X$2,2)</f>
        <v>38</v>
      </c>
      <c r="Y129" s="8" t="str">
        <f>MID($AB129,Y$2,2)</f>
        <v>C8</v>
      </c>
      <c r="AB129" t="s">
        <v>105</v>
      </c>
    </row>
    <row r="130" spans="8:28" x14ac:dyDescent="0.25">
      <c r="H130" s="9" t="str">
        <f>HEX2BIN(MID($AB129,H$2,2),8)</f>
        <v>00100011</v>
      </c>
      <c r="I130" s="9" t="str">
        <f>HEX2BIN(MID($AB129,I$2,2),8)</f>
        <v>11001011</v>
      </c>
      <c r="J130" s="9" t="str">
        <f>HEX2BIN(MID($AB129,J$2,2),8)</f>
        <v>00100110</v>
      </c>
      <c r="K130" s="9" t="str">
        <f>HEX2BIN(MID($AB129,K$2,2),8)</f>
        <v>00000001</v>
      </c>
      <c r="L130" s="9" t="str">
        <f>HEX2BIN(MID($AB129,L$2,2),8)</f>
        <v>00000000</v>
      </c>
      <c r="M130" s="9" t="str">
        <f>HEX2BIN(MID($AB129,M$2,2),8)</f>
        <v>00100000</v>
      </c>
      <c r="N130" s="9" t="str">
        <f>HEX2BIN(MID($AB129,N$2,2),8)</f>
        <v>01001000</v>
      </c>
      <c r="O130" s="9" t="str">
        <f>HEX2BIN(MID($AB129,O$2,2),8)</f>
        <v>00000000</v>
      </c>
      <c r="P130" s="9" t="str">
        <f>HEX2BIN(MID($AB129,P$2,2),8)</f>
        <v>11000000</v>
      </c>
      <c r="Q130" s="9" t="str">
        <f>HEX2BIN(MID($AB129,Q$2,2),8)</f>
        <v>01111000</v>
      </c>
      <c r="R130" s="9" t="str">
        <f>HEX2BIN(MID($AB129,R$2,2),8)</f>
        <v>01000101</v>
      </c>
      <c r="S130" s="9" t="str">
        <f>HEX2BIN(MID($AB129,S$2,2),8)</f>
        <v>00000000</v>
      </c>
      <c r="T130" s="9" t="str">
        <f>HEX2BIN(MID($AB129,T$2,2),8)</f>
        <v>00000000</v>
      </c>
      <c r="U130" s="9" t="str">
        <f>HEX2BIN(MID($AB129,U$2,2),8)</f>
        <v>00000000</v>
      </c>
      <c r="V130" s="9" t="str">
        <f>HEX2BIN(MID($AB129,V$2,2),8)</f>
        <v>10010010</v>
      </c>
      <c r="W130" s="18" t="str">
        <f>HEX2BIN(MID($AB129,W$2,2),8)</f>
        <v>00000100</v>
      </c>
      <c r="X130" s="9" t="str">
        <f>HEX2BIN(MID($AB129,X$2,2),8)</f>
        <v>00111000</v>
      </c>
      <c r="Y130" s="9" t="str">
        <f>HEX2BIN(MID($AB129,Y$2,2),8)</f>
        <v>11001000</v>
      </c>
      <c r="AB130" t="s">
        <v>97</v>
      </c>
    </row>
    <row r="131" spans="8:28" x14ac:dyDescent="0.25">
      <c r="H131" s="8" t="str">
        <f>MID($AB131,H$2,2)</f>
        <v>23</v>
      </c>
      <c r="I131" s="8" t="str">
        <f>MID($AB131,I$2,2)</f>
        <v>CB</v>
      </c>
      <c r="J131" s="8" t="str">
        <f>MID($AB131,J$2,2)</f>
        <v>26</v>
      </c>
      <c r="K131" s="8" t="str">
        <f>MID($AB131,K$2,2)</f>
        <v>01</v>
      </c>
      <c r="L131" s="8" t="str">
        <f>MID($AB131,L$2,2)</f>
        <v>00</v>
      </c>
      <c r="M131" s="8" t="str">
        <f>MID($AB131,M$2,2)</f>
        <v>20</v>
      </c>
      <c r="N131" s="8" t="str">
        <f>MID($AB131,N$2,2)</f>
        <v>48</v>
      </c>
      <c r="O131" s="8" t="str">
        <f>MID($AB131,O$2,2)</f>
        <v>00</v>
      </c>
      <c r="P131" s="8" t="str">
        <f>MID($AB131,P$2,2)</f>
        <v>C0</v>
      </c>
      <c r="Q131" s="8" t="str">
        <f>MID($AB131,Q$2,2)</f>
        <v>B8</v>
      </c>
      <c r="R131" s="8" t="str">
        <f>MID($AB131,R$2,2)</f>
        <v>45</v>
      </c>
      <c r="S131" s="8" t="str">
        <f>MID($AB131,S$2,2)</f>
        <v>00</v>
      </c>
      <c r="T131" s="8" t="str">
        <f>MID($AB131,T$2,2)</f>
        <v>00</v>
      </c>
      <c r="U131" s="8" t="str">
        <f>MID($AB131,U$2,2)</f>
        <v>00</v>
      </c>
      <c r="V131" s="8" t="str">
        <f>MID($AB131,V$2,2)</f>
        <v>92</v>
      </c>
      <c r="W131" s="17" t="str">
        <f>MID($AB131,W$2,2)</f>
        <v>24</v>
      </c>
      <c r="X131" s="8" t="str">
        <f>MID($AB131,X$2,2)</f>
        <v>38</v>
      </c>
      <c r="Y131" s="8" t="str">
        <f>MID($AB131,Y$2,2)</f>
        <v>28</v>
      </c>
      <c r="AB131" t="s">
        <v>106</v>
      </c>
    </row>
    <row r="132" spans="8:28" x14ac:dyDescent="0.25">
      <c r="H132" s="9" t="str">
        <f>HEX2BIN(MID($AB131,H$2,2),8)</f>
        <v>00100011</v>
      </c>
      <c r="I132" s="9" t="str">
        <f>HEX2BIN(MID($AB131,I$2,2),8)</f>
        <v>11001011</v>
      </c>
      <c r="J132" s="9" t="str">
        <f>HEX2BIN(MID($AB131,J$2,2),8)</f>
        <v>00100110</v>
      </c>
      <c r="K132" s="9" t="str">
        <f>HEX2BIN(MID($AB131,K$2,2),8)</f>
        <v>00000001</v>
      </c>
      <c r="L132" s="9" t="str">
        <f>HEX2BIN(MID($AB131,L$2,2),8)</f>
        <v>00000000</v>
      </c>
      <c r="M132" s="9" t="str">
        <f>HEX2BIN(MID($AB131,M$2,2),8)</f>
        <v>00100000</v>
      </c>
      <c r="N132" s="9" t="str">
        <f>HEX2BIN(MID($AB131,N$2,2),8)</f>
        <v>01001000</v>
      </c>
      <c r="O132" s="9" t="str">
        <f>HEX2BIN(MID($AB131,O$2,2),8)</f>
        <v>00000000</v>
      </c>
      <c r="P132" s="9" t="str">
        <f>HEX2BIN(MID($AB131,P$2,2),8)</f>
        <v>11000000</v>
      </c>
      <c r="Q132" s="9" t="str">
        <f>HEX2BIN(MID($AB131,Q$2,2),8)</f>
        <v>10111000</v>
      </c>
      <c r="R132" s="9" t="str">
        <f>HEX2BIN(MID($AB131,R$2,2),8)</f>
        <v>01000101</v>
      </c>
      <c r="S132" s="9" t="str">
        <f>HEX2BIN(MID($AB131,S$2,2),8)</f>
        <v>00000000</v>
      </c>
      <c r="T132" s="9" t="str">
        <f>HEX2BIN(MID($AB131,T$2,2),8)</f>
        <v>00000000</v>
      </c>
      <c r="U132" s="9" t="str">
        <f>HEX2BIN(MID($AB131,U$2,2),8)</f>
        <v>00000000</v>
      </c>
      <c r="V132" s="9" t="str">
        <f>HEX2BIN(MID($AB131,V$2,2),8)</f>
        <v>10010010</v>
      </c>
      <c r="W132" s="18" t="str">
        <f>HEX2BIN(MID($AB131,W$2,2),8)</f>
        <v>00100100</v>
      </c>
      <c r="X132" s="9" t="str">
        <f>HEX2BIN(MID($AB131,X$2,2),8)</f>
        <v>00111000</v>
      </c>
      <c r="Y132" s="9" t="str">
        <f>HEX2BIN(MID($AB131,Y$2,2),8)</f>
        <v>00101000</v>
      </c>
    </row>
  </sheetData>
  <conditionalFormatting sqref="H12:Y12">
    <cfRule type="cellIs" dxfId="46" priority="48" operator="notEqual">
      <formula>H10</formula>
    </cfRule>
  </conditionalFormatting>
  <conditionalFormatting sqref="H14:Y14">
    <cfRule type="cellIs" dxfId="45" priority="47" operator="notEqual">
      <formula>H12</formula>
    </cfRule>
  </conditionalFormatting>
  <conditionalFormatting sqref="H16:Y16">
    <cfRule type="cellIs" dxfId="44" priority="46" operator="notEqual">
      <formula>H14</formula>
    </cfRule>
  </conditionalFormatting>
  <conditionalFormatting sqref="H18:Y18">
    <cfRule type="cellIs" dxfId="43" priority="45" operator="notEqual">
      <formula>H16</formula>
    </cfRule>
  </conditionalFormatting>
  <conditionalFormatting sqref="H20:Y20">
    <cfRule type="cellIs" dxfId="42" priority="44" operator="notEqual">
      <formula>H18</formula>
    </cfRule>
  </conditionalFormatting>
  <conditionalFormatting sqref="H22:Y22">
    <cfRule type="cellIs" dxfId="41" priority="43" operator="notEqual">
      <formula>H20</formula>
    </cfRule>
  </conditionalFormatting>
  <conditionalFormatting sqref="H24:Y24">
    <cfRule type="cellIs" dxfId="40" priority="42" operator="notEqual">
      <formula>H22</formula>
    </cfRule>
  </conditionalFormatting>
  <conditionalFormatting sqref="H26:Y26">
    <cfRule type="cellIs" dxfId="39" priority="41" operator="notEqual">
      <formula>H24</formula>
    </cfRule>
  </conditionalFormatting>
  <conditionalFormatting sqref="H28:Y28">
    <cfRule type="cellIs" dxfId="38" priority="40" operator="notEqual">
      <formula>H26</formula>
    </cfRule>
  </conditionalFormatting>
  <conditionalFormatting sqref="H30:Y30">
    <cfRule type="cellIs" dxfId="37" priority="39" operator="notEqual">
      <formula>H28</formula>
    </cfRule>
  </conditionalFormatting>
  <conditionalFormatting sqref="H32:Y32">
    <cfRule type="cellIs" dxfId="36" priority="38" operator="notEqual">
      <formula>H30</formula>
    </cfRule>
  </conditionalFormatting>
  <conditionalFormatting sqref="H34:Y34">
    <cfRule type="cellIs" dxfId="35" priority="37" operator="notEqual">
      <formula>H32</formula>
    </cfRule>
  </conditionalFormatting>
  <conditionalFormatting sqref="H36:Y36">
    <cfRule type="cellIs" dxfId="34" priority="36" operator="notEqual">
      <formula>H34</formula>
    </cfRule>
  </conditionalFormatting>
  <conditionalFormatting sqref="H38:Y38">
    <cfRule type="cellIs" dxfId="33" priority="35" operator="notEqual">
      <formula>H36</formula>
    </cfRule>
  </conditionalFormatting>
  <conditionalFormatting sqref="H40:Y40">
    <cfRule type="cellIs" dxfId="32" priority="34" operator="notEqual">
      <formula>H38</formula>
    </cfRule>
  </conditionalFormatting>
  <conditionalFormatting sqref="H42:Y42">
    <cfRule type="cellIs" dxfId="31" priority="33" operator="notEqual">
      <formula>H40</formula>
    </cfRule>
  </conditionalFormatting>
  <conditionalFormatting sqref="H44:Y44 H46:Y46 H48:Y48 H50:Y50 H52:Y52">
    <cfRule type="cellIs" dxfId="30" priority="32" operator="notEqual">
      <formula>H42</formula>
    </cfRule>
  </conditionalFormatting>
  <conditionalFormatting sqref="H54:Y54 H56:Y56">
    <cfRule type="cellIs" dxfId="29" priority="31" operator="notEqual">
      <formula>H52</formula>
    </cfRule>
  </conditionalFormatting>
  <conditionalFormatting sqref="H78:Y78 H80:Y80 H82:Y82 H84:Y84">
    <cfRule type="cellIs" dxfId="28" priority="22" operator="notEqual">
      <formula>H76</formula>
    </cfRule>
  </conditionalFormatting>
  <conditionalFormatting sqref="H58:Y58 H60:Y60">
    <cfRule type="cellIs" dxfId="27" priority="30" operator="notEqual">
      <formula>H56</formula>
    </cfRule>
  </conditionalFormatting>
  <conditionalFormatting sqref="H62:Y62 H64:Y64">
    <cfRule type="cellIs" dxfId="26" priority="29" operator="notEqual">
      <formula>H60</formula>
    </cfRule>
  </conditionalFormatting>
  <conditionalFormatting sqref="H66:Y66">
    <cfRule type="cellIs" dxfId="25" priority="28" operator="notEqual">
      <formula>H64</formula>
    </cfRule>
  </conditionalFormatting>
  <conditionalFormatting sqref="H68:Y68">
    <cfRule type="cellIs" dxfId="24" priority="27" operator="notEqual">
      <formula>H66</formula>
    </cfRule>
  </conditionalFormatting>
  <conditionalFormatting sqref="H70:Y70">
    <cfRule type="cellIs" dxfId="23" priority="26" operator="notEqual">
      <formula>H68</formula>
    </cfRule>
  </conditionalFormatting>
  <conditionalFormatting sqref="H72:Y72">
    <cfRule type="cellIs" dxfId="22" priority="25" operator="notEqual">
      <formula>H70</formula>
    </cfRule>
  </conditionalFormatting>
  <conditionalFormatting sqref="H74:Y74">
    <cfRule type="cellIs" dxfId="21" priority="24" operator="notEqual">
      <formula>H72</formula>
    </cfRule>
  </conditionalFormatting>
  <conditionalFormatting sqref="H76:Y76">
    <cfRule type="cellIs" dxfId="20" priority="23" operator="notEqual">
      <formula>H74</formula>
    </cfRule>
  </conditionalFormatting>
  <conditionalFormatting sqref="H86:Y86 H88:Y88 H90:Y90 H92:Y92">
    <cfRule type="cellIs" dxfId="19" priority="21" operator="notEqual">
      <formula>H84</formula>
    </cfRule>
  </conditionalFormatting>
  <conditionalFormatting sqref="H94:Y94">
    <cfRule type="cellIs" dxfId="18" priority="20" operator="notEqual">
      <formula>H92</formula>
    </cfRule>
  </conditionalFormatting>
  <conditionalFormatting sqref="H96:Y96">
    <cfRule type="cellIs" dxfId="17" priority="19" operator="notEqual">
      <formula>H94</formula>
    </cfRule>
  </conditionalFormatting>
  <conditionalFormatting sqref="H98:Y98">
    <cfRule type="cellIs" dxfId="16" priority="18" operator="notEqual">
      <formula>H96</formula>
    </cfRule>
  </conditionalFormatting>
  <conditionalFormatting sqref="H100:Y100">
    <cfRule type="cellIs" dxfId="15" priority="17" operator="notEqual">
      <formula>H98</formula>
    </cfRule>
  </conditionalFormatting>
  <conditionalFormatting sqref="H103:Y103 H105:Y105 H107:Y107">
    <cfRule type="cellIs" dxfId="14" priority="15" operator="notEqual">
      <formula>H101</formula>
    </cfRule>
  </conditionalFormatting>
  <conditionalFormatting sqref="H102:Y102 H104:Y104 H106:Y106 H108:Y108">
    <cfRule type="cellIs" dxfId="13" priority="14" operator="notEqual">
      <formula>H100</formula>
    </cfRule>
  </conditionalFormatting>
  <conditionalFormatting sqref="H132:Y132">
    <cfRule type="cellIs" dxfId="12" priority="1" operator="notEqual">
      <formula>H130</formula>
    </cfRule>
  </conditionalFormatting>
  <conditionalFormatting sqref="H110:Y110">
    <cfRule type="cellIs" dxfId="11" priority="12" operator="notEqual">
      <formula>H108</formula>
    </cfRule>
  </conditionalFormatting>
  <conditionalFormatting sqref="H112:Y112">
    <cfRule type="cellIs" dxfId="10" priority="11" operator="notEqual">
      <formula>H110</formula>
    </cfRule>
  </conditionalFormatting>
  <conditionalFormatting sqref="H114:Y114">
    <cfRule type="cellIs" dxfId="9" priority="10" operator="notEqual">
      <formula>H112</formula>
    </cfRule>
  </conditionalFormatting>
  <conditionalFormatting sqref="H116:Y116">
    <cfRule type="cellIs" dxfId="8" priority="9" operator="notEqual">
      <formula>H114</formula>
    </cfRule>
  </conditionalFormatting>
  <conditionalFormatting sqref="H118:Y118">
    <cfRule type="cellIs" dxfId="7" priority="8" operator="notEqual">
      <formula>H116</formula>
    </cfRule>
  </conditionalFormatting>
  <conditionalFormatting sqref="H120:Y120">
    <cfRule type="cellIs" dxfId="6" priority="7" operator="notEqual">
      <formula>H118</formula>
    </cfRule>
  </conditionalFormatting>
  <conditionalFormatting sqref="H122:Y122">
    <cfRule type="cellIs" dxfId="5" priority="6" operator="notEqual">
      <formula>H120</formula>
    </cfRule>
  </conditionalFormatting>
  <conditionalFormatting sqref="H124:Y124">
    <cfRule type="cellIs" dxfId="4" priority="5" operator="notEqual">
      <formula>H122</formula>
    </cfRule>
  </conditionalFormatting>
  <conditionalFormatting sqref="H126:Y126">
    <cfRule type="cellIs" dxfId="3" priority="4" operator="notEqual">
      <formula>H124</formula>
    </cfRule>
  </conditionalFormatting>
  <conditionalFormatting sqref="H128:Y128">
    <cfRule type="cellIs" dxfId="2" priority="3" operator="notEqual">
      <formula>H126</formula>
    </cfRule>
  </conditionalFormatting>
  <conditionalFormatting sqref="H130:Y130">
    <cfRule type="cellIs" dxfId="1" priority="2" operator="notEqual">
      <formula>H128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2nd sensor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Nøhr-Rasmussen</dc:creator>
  <cp:lastModifiedBy>Nikolaj Nøhr-Rasmussen</cp:lastModifiedBy>
  <dcterms:created xsi:type="dcterms:W3CDTF">2021-04-05T14:53:18Z</dcterms:created>
  <dcterms:modified xsi:type="dcterms:W3CDTF">2021-11-07T12:10:19Z</dcterms:modified>
</cp:coreProperties>
</file>